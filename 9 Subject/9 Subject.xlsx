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tabRatio="594" activeTab="6"/>
  </bookViews>
  <sheets>
    <sheet name="Unit 1" sheetId="1" r:id="rId1"/>
    <sheet name="Unit 2" sheetId="2" r:id="rId2"/>
    <sheet name="Unit 3" sheetId="3" r:id="rId3"/>
    <sheet name="Unit 4" sheetId="4" r:id="rId4"/>
    <sheet name="Half yearly" sheetId="5" r:id="rId5"/>
    <sheet name="Annual" sheetId="6" r:id="rId6"/>
    <sheet name="Calculation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L2" i="7" l="1"/>
  <c r="A2" i="2"/>
  <c r="BK2" i="7" l="1"/>
  <c r="CO2" i="7" s="1"/>
  <c r="BC2" i="7"/>
  <c r="CG2" i="7" s="1"/>
  <c r="E2" i="7"/>
  <c r="BU2" i="7"/>
  <c r="CY2" i="7" s="1"/>
  <c r="BR2" i="7"/>
  <c r="CV2" i="7" s="1"/>
  <c r="BS2" i="7"/>
  <c r="CW2" i="7" s="1"/>
  <c r="BT2" i="7"/>
  <c r="CX2" i="7" s="1"/>
  <c r="BM2" i="7"/>
  <c r="CQ2" i="7" s="1"/>
  <c r="BJ2" i="7"/>
  <c r="CN2" i="7" s="1"/>
  <c r="BH2" i="7"/>
  <c r="CL2" i="7" s="1"/>
  <c r="BI2" i="7"/>
  <c r="AQ2" i="7"/>
  <c r="AN2" i="7"/>
  <c r="AO2" i="7"/>
  <c r="AP2" i="7"/>
  <c r="AM2" i="7"/>
  <c r="AG2" i="7"/>
  <c r="AD2" i="7"/>
  <c r="AE2" i="7"/>
  <c r="AF2" i="7"/>
  <c r="AC2" i="7"/>
  <c r="Z2" i="7"/>
  <c r="V2" i="7"/>
  <c r="W2" i="7"/>
  <c r="T2" i="7"/>
  <c r="U2" i="7"/>
  <c r="S2" i="7"/>
  <c r="J2" i="7"/>
  <c r="CM2" i="7" l="1"/>
  <c r="CB2" i="7"/>
  <c r="DF2" i="7" s="1"/>
  <c r="AX2" i="7"/>
  <c r="K2" i="7"/>
  <c r="L2" i="7"/>
  <c r="M2" i="7"/>
  <c r="I2" i="7"/>
  <c r="CA2" i="7" l="1"/>
  <c r="AW2" i="7"/>
  <c r="CC2" i="7"/>
  <c r="DG2" i="7" s="1"/>
  <c r="AY2" i="7"/>
  <c r="CD2" i="7"/>
  <c r="DH2" i="7" s="1"/>
  <c r="AZ2" i="7"/>
  <c r="CE2" i="7"/>
  <c r="DI2" i="7" s="1"/>
  <c r="BA2" i="7"/>
  <c r="F2" i="7"/>
  <c r="G2" i="7"/>
  <c r="H2" i="7"/>
  <c r="N2" i="7" l="1"/>
  <c r="BQ2" i="7"/>
  <c r="CU2" i="7" s="1"/>
  <c r="BN2" i="7"/>
  <c r="BO2" i="7"/>
  <c r="CS2" i="7" s="1"/>
  <c r="BP2" i="7"/>
  <c r="CT2" i="7" s="1"/>
  <c r="BD2" i="7"/>
  <c r="BE2" i="7"/>
  <c r="CI2" i="7" s="1"/>
  <c r="BF2" i="7"/>
  <c r="CJ2" i="7" s="1"/>
  <c r="BG2" i="7"/>
  <c r="CK2" i="7" s="1"/>
  <c r="CR2" i="7" l="1"/>
  <c r="BV2" i="7"/>
  <c r="CZ2" i="7" s="1"/>
  <c r="CH2" i="7"/>
  <c r="CP2" i="7"/>
  <c r="AJ2" i="7"/>
  <c r="AK2" i="7"/>
  <c r="AL2" i="7"/>
  <c r="AI2" i="7"/>
  <c r="AR2" i="7" s="1"/>
  <c r="AA2" i="7"/>
  <c r="AB2" i="7"/>
  <c r="Y2" i="7"/>
  <c r="AH2" i="7" s="1"/>
  <c r="P2" i="7"/>
  <c r="Q2" i="7"/>
  <c r="R2" i="7"/>
  <c r="O2" i="7"/>
  <c r="BW2" i="7" s="1"/>
  <c r="DA2" i="7" s="1"/>
  <c r="C2" i="7"/>
  <c r="B2" i="7"/>
  <c r="BZ2" i="7" l="1"/>
  <c r="AV2" i="7"/>
  <c r="BY2" i="7"/>
  <c r="DC2" i="7" s="1"/>
  <c r="AU2" i="7"/>
  <c r="BX2" i="7"/>
  <c r="DB2" i="7" s="1"/>
  <c r="AT2" i="7"/>
  <c r="AS2" i="7"/>
  <c r="BB2" i="7" s="1"/>
  <c r="X2" i="7"/>
  <c r="CF2" i="7" s="1"/>
  <c r="DD2" i="7"/>
  <c r="DE2" i="7"/>
  <c r="A2" i="6"/>
  <c r="A2" i="5"/>
  <c r="A2" i="4"/>
  <c r="A2" i="3"/>
  <c r="DJ2" i="7" l="1"/>
  <c r="DK2" i="7"/>
  <c r="DL2" i="7" s="1"/>
</calcChain>
</file>

<file path=xl/sharedStrings.xml><?xml version="1.0" encoding="utf-8"?>
<sst xmlns="http://schemas.openxmlformats.org/spreadsheetml/2006/main" count="178" uniqueCount="136">
  <si>
    <t>Roll No</t>
  </si>
  <si>
    <t>Name</t>
  </si>
  <si>
    <t>Roll</t>
  </si>
  <si>
    <t>Class</t>
  </si>
  <si>
    <t>Total Unit 1</t>
  </si>
  <si>
    <t>Total Unit 2</t>
  </si>
  <si>
    <t>Total Unit 3</t>
  </si>
  <si>
    <t>Total Unit 4</t>
  </si>
  <si>
    <t>Total Helf</t>
  </si>
  <si>
    <t>Total of 20 % of unit test</t>
  </si>
  <si>
    <t>Total of 30 % of half</t>
  </si>
  <si>
    <t>Total of 50% of Annual Exam</t>
  </si>
  <si>
    <t>Total of Grand Total</t>
  </si>
  <si>
    <t>Percentage</t>
  </si>
  <si>
    <t>Grade</t>
  </si>
  <si>
    <t>Total Annual</t>
  </si>
  <si>
    <t>Saidur Rohman Barbhuiya</t>
  </si>
  <si>
    <t>Unit 1 Subject 1</t>
  </si>
  <si>
    <t>Unit 1 Subject 2</t>
  </si>
  <si>
    <t>Unit 1 Subject 3</t>
  </si>
  <si>
    <t>Unit 1 Subject 4</t>
  </si>
  <si>
    <t>Unit 1 Subject 5</t>
  </si>
  <si>
    <t>Unit 1 Subject 6</t>
  </si>
  <si>
    <t>Unit 1 Subject 7</t>
  </si>
  <si>
    <t>Unit 1 Subject 8</t>
  </si>
  <si>
    <t>Unit 1 Subject 9</t>
  </si>
  <si>
    <t>Unit 2 Subject 1</t>
  </si>
  <si>
    <t>Unit 2 Subject 2</t>
  </si>
  <si>
    <t>Unit 2 Subject 3</t>
  </si>
  <si>
    <t>Unit 2 Subject 4</t>
  </si>
  <si>
    <t>Unit 2 Subject 5</t>
  </si>
  <si>
    <t>Unit 2 Subject 6</t>
  </si>
  <si>
    <t>Unit 2 Subject 7</t>
  </si>
  <si>
    <t>Unit 2 Subject 8</t>
  </si>
  <si>
    <t>Unit 2 Subject 9</t>
  </si>
  <si>
    <t>Unit 3 Subject 1</t>
  </si>
  <si>
    <t>Unit 3 Subject 2</t>
  </si>
  <si>
    <t>Unit 3 Subject 3</t>
  </si>
  <si>
    <t>Unit 3 Subject 4</t>
  </si>
  <si>
    <t>Unit 3 Subject 5</t>
  </si>
  <si>
    <t>Unit 3 Subject 6</t>
  </si>
  <si>
    <t>Unit 3 Subject 7</t>
  </si>
  <si>
    <t>Unit 3 Subject 8</t>
  </si>
  <si>
    <t>Unit 3 Subject 9</t>
  </si>
  <si>
    <t>Unit 4 Subject 1</t>
  </si>
  <si>
    <t>Unit 4 Subject 2</t>
  </si>
  <si>
    <t>Unit 4 Subject 3</t>
  </si>
  <si>
    <t>Unit 4 Subject 4</t>
  </si>
  <si>
    <t>Unit 4 Subject 5</t>
  </si>
  <si>
    <t>Unit 4 Subject 6</t>
  </si>
  <si>
    <t>Unit 4 Subject 7</t>
  </si>
  <si>
    <t>Unit 4 Subject 8</t>
  </si>
  <si>
    <t>Unit 4 Subject 9</t>
  </si>
  <si>
    <t>Total of all Units Subject 1</t>
  </si>
  <si>
    <t>Total of all Units Subject 2</t>
  </si>
  <si>
    <t>Total of all Units Subject 3</t>
  </si>
  <si>
    <t>Total of all Units Subject 4</t>
  </si>
  <si>
    <t>Total of all Units Subject 5</t>
  </si>
  <si>
    <t>Total of all Units Subject 6</t>
  </si>
  <si>
    <t>Total of all Units Subject 7</t>
  </si>
  <si>
    <t>Total of all Units Subject 8</t>
  </si>
  <si>
    <t>Total of all Units Subject 9</t>
  </si>
  <si>
    <t>Total of all unit all Subjects</t>
  </si>
  <si>
    <t>Helf Subject 1</t>
  </si>
  <si>
    <t>Helf Subject 2</t>
  </si>
  <si>
    <t>Helf Subject 3</t>
  </si>
  <si>
    <t>Helf Subject 4</t>
  </si>
  <si>
    <t>Helf Subject 5</t>
  </si>
  <si>
    <t>Helf Subject 6</t>
  </si>
  <si>
    <t>Helf Subject 7</t>
  </si>
  <si>
    <t>Helf Subject 8</t>
  </si>
  <si>
    <t>Helf Subject 9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</si>
  <si>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</si>
  <si>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</si>
  <si>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</si>
  <si>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</si>
  <si>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</si>
  <si>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</si>
  <si>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</si>
  <si>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</si>
  <si>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</si>
  <si>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</si>
  <si>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</si>
  <si>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</si>
  <si>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</si>
  <si>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</si>
  <si>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</si>
  <si>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</si>
  <si>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</si>
  <si>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</si>
  <si>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Annual Subject 1</t>
  </si>
  <si>
    <t>Annual Subject 2</t>
  </si>
  <si>
    <t>Annual Subject 3</t>
  </si>
  <si>
    <t>Annual Subject 4</t>
  </si>
  <si>
    <t>Annual Subject 5</t>
  </si>
  <si>
    <t>Annual Subject 6</t>
  </si>
  <si>
    <t>Annual Subject 7</t>
  </si>
  <si>
    <t>Annual Subject 8</t>
  </si>
  <si>
    <t>Annual Subject 9</t>
  </si>
  <si>
    <t>20% Subject 1</t>
  </si>
  <si>
    <t>20% Subject 2</t>
  </si>
  <si>
    <t>20% Subject 3</t>
  </si>
  <si>
    <t>20% Subject 4</t>
  </si>
  <si>
    <t>20% Subject 5</t>
  </si>
  <si>
    <t>20% Subject 6</t>
  </si>
  <si>
    <t>20% Subject 7</t>
  </si>
  <si>
    <t>20% Subject 8</t>
  </si>
  <si>
    <t>20% Subject 9</t>
  </si>
  <si>
    <t>30% half Subject 1</t>
  </si>
  <si>
    <t>30% half Subject 2</t>
  </si>
  <si>
    <t>30% half Subject 3</t>
  </si>
  <si>
    <t>30% half Subject 4</t>
  </si>
  <si>
    <t>30% half Subject 5</t>
  </si>
  <si>
    <t>30% half Subject 6</t>
  </si>
  <si>
    <t>30% half Subject 7</t>
  </si>
  <si>
    <t>30% half Subject 8</t>
  </si>
  <si>
    <t>30% half Subject 9</t>
  </si>
  <si>
    <t>50% Annual Subject 1</t>
  </si>
  <si>
    <t>50% Annual Subject 2</t>
  </si>
  <si>
    <t>50% Annual Subject 3</t>
  </si>
  <si>
    <t>50% Annual Subject 4</t>
  </si>
  <si>
    <t>50% Annual Subject 5</t>
  </si>
  <si>
    <t>50% Annual Subject 6</t>
  </si>
  <si>
    <t>50% Annual Subject 7</t>
  </si>
  <si>
    <t>50% Annual Subject 8</t>
  </si>
  <si>
    <t>50% Annual Subject 9</t>
  </si>
  <si>
    <t>Grand Total Subject 1</t>
  </si>
  <si>
    <t>Grand Total Subject 2</t>
  </si>
  <si>
    <t>Grand Total Subject 3</t>
  </si>
  <si>
    <t>Grand Total Subject 4</t>
  </si>
  <si>
    <t>Grand Total Subject 5</t>
  </si>
  <si>
    <t>Grand Total Subject 6</t>
  </si>
  <si>
    <t>Grand Total Subject 7</t>
  </si>
  <si>
    <t>Grand Total Subject 8</t>
  </si>
  <si>
    <t>Grand Total Subject 9</t>
  </si>
  <si>
    <t>New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</si>
</sst>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sz val="14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10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2"/>
  <sheetViews>
    <sheetView zoomScale="145" zoomScaleNormal="145" workbookViewId="0">
      <selection activeCell="C2" sqref="C2"/>
    </sheetView>
  </sheetViews>
  <sheetFormatPr defaultRowHeight="14.4" x14ac:dyDescent="0.3"/>
  <cols>
    <col min="1" max="1" width="8.6640625" style="5" bestFit="1" customWidth="1"/>
    <col min="2" max="2" width="22.6640625" bestFit="1" customWidth="1"/>
    <col min="3" max="8" width="10.6640625" style="5" bestFit="1" customWidth="1"/>
    <col min="9" max="11" width="10.6640625" bestFit="1" customWidth="1"/>
  </cols>
  <sheetData>
    <row r="1" spans="1:11" s="2" customFormat="1" ht="18" x14ac:dyDescent="0.35">
      <c r="A1" s="4" t="s">
        <v>0</v>
      </c>
      <c r="B1" s="2" t="s">
        <v>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80</v>
      </c>
    </row>
    <row r="2" spans="1:11" x14ac:dyDescent="0.3">
      <c r="A2" s="5">
        <v>1</v>
      </c>
      <c r="B2" t="s">
        <v>16</v>
      </c>
      <c r="C2" s="5">
        <v>25</v>
      </c>
      <c r="D2" s="5">
        <v>25</v>
      </c>
      <c r="E2" s="5">
        <v>25</v>
      </c>
      <c r="F2" s="5">
        <v>25</v>
      </c>
      <c r="G2" s="5">
        <v>25</v>
      </c>
      <c r="H2" s="5">
        <v>25</v>
      </c>
      <c r="I2" s="5">
        <v>25</v>
      </c>
      <c r="J2" s="5">
        <v>25</v>
      </c>
      <c r="K2" s="5">
        <v>25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J2"/>
  <sheetViews>
    <sheetView zoomScale="160" zoomScaleNormal="160" workbookViewId="0">
      <selection activeCell="B2" sqref="B2:J2"/>
    </sheetView>
  </sheetViews>
  <sheetFormatPr defaultRowHeight="14.4" x14ac:dyDescent="0.3"/>
  <cols>
    <col min="1" max="1" width="8.44140625" style="7" bestFit="1" customWidth="1"/>
    <col min="2" max="7" width="10.6640625" style="5" bestFit="1" customWidth="1"/>
    <col min="8" max="10" width="10.6640625" bestFit="1" customWidth="1"/>
  </cols>
  <sheetData>
    <row r="1" spans="1:10" s="1" customFormat="1" ht="18" x14ac:dyDescent="0.35">
      <c r="A1" s="6" t="s">
        <v>0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</row>
    <row r="2" spans="1:10" x14ac:dyDescent="0.3">
      <c r="A2" s="7">
        <f>'Unit 1'!A2</f>
        <v>1</v>
      </c>
      <c r="B2" s="5">
        <v>25</v>
      </c>
      <c r="C2" s="5">
        <v>25</v>
      </c>
      <c r="D2" s="5">
        <v>25</v>
      </c>
      <c r="E2" s="5">
        <v>25</v>
      </c>
      <c r="F2" s="5">
        <v>25</v>
      </c>
      <c r="G2" s="5">
        <v>25</v>
      </c>
      <c r="H2" s="5">
        <v>25</v>
      </c>
      <c r="I2" s="5">
        <v>25</v>
      </c>
      <c r="J2" s="5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2"/>
  <sheetViews>
    <sheetView zoomScale="175" zoomScaleNormal="175" workbookViewId="0">
      <selection activeCell="J2" sqref="J2"/>
    </sheetView>
  </sheetViews>
  <sheetFormatPr defaultRowHeight="14.4" x14ac:dyDescent="0.3"/>
  <cols>
    <col min="1" max="1" width="8.5546875" style="5" bestFit="1" customWidth="1"/>
    <col min="2" max="7" width="10.6640625" style="5" bestFit="1" customWidth="1"/>
    <col min="8" max="10" width="10.6640625" bestFit="1" customWidth="1"/>
  </cols>
  <sheetData>
    <row r="1" spans="1:10" s="3" customFormat="1" ht="18" x14ac:dyDescent="0.35">
      <c r="A1" s="4" t="s">
        <v>0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</row>
    <row r="2" spans="1:10" x14ac:dyDescent="0.3">
      <c r="A2" s="5">
        <f>'Unit 1'!A2</f>
        <v>1</v>
      </c>
      <c r="B2" s="5">
        <v>25</v>
      </c>
      <c r="C2" s="5">
        <v>25</v>
      </c>
      <c r="D2" s="5">
        <v>25</v>
      </c>
      <c r="E2" s="5">
        <v>25</v>
      </c>
      <c r="F2" s="5">
        <v>25</v>
      </c>
      <c r="G2" s="5">
        <v>25</v>
      </c>
      <c r="H2" s="5">
        <v>25</v>
      </c>
      <c r="I2" s="5">
        <v>25</v>
      </c>
      <c r="J2" s="5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J2"/>
  <sheetViews>
    <sheetView zoomScale="175" zoomScaleNormal="175" workbookViewId="0">
      <selection activeCell="B2" sqref="B2:J2"/>
    </sheetView>
  </sheetViews>
  <sheetFormatPr defaultRowHeight="14.4" x14ac:dyDescent="0.3"/>
  <cols>
    <col min="1" max="1" width="8.5546875" style="5" bestFit="1" customWidth="1"/>
    <col min="2" max="7" width="10.5546875" style="5" bestFit="1" customWidth="1"/>
    <col min="8" max="10" width="10.5546875" bestFit="1" customWidth="1"/>
  </cols>
  <sheetData>
    <row r="1" spans="1:10" s="3" customFormat="1" ht="18" x14ac:dyDescent="0.35">
      <c r="A1" s="4" t="s">
        <v>0</v>
      </c>
      <c r="B1" s="4" t="s">
        <v>81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88</v>
      </c>
      <c r="J1" s="4" t="s">
        <v>89</v>
      </c>
    </row>
    <row r="2" spans="1:10" x14ac:dyDescent="0.3">
      <c r="A2" s="5">
        <f>'Unit 1'!A2</f>
        <v>1</v>
      </c>
      <c r="B2" s="5">
        <v>25</v>
      </c>
      <c r="C2" s="5">
        <v>25</v>
      </c>
      <c r="D2" s="5">
        <v>25</v>
      </c>
      <c r="E2" s="5">
        <v>25</v>
      </c>
      <c r="F2" s="5">
        <v>25</v>
      </c>
      <c r="G2" s="5">
        <v>25</v>
      </c>
      <c r="H2" s="5">
        <v>25</v>
      </c>
      <c r="I2" s="5">
        <v>25</v>
      </c>
      <c r="J2" s="5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J2"/>
  <sheetViews>
    <sheetView zoomScale="175" zoomScaleNormal="175" workbookViewId="0">
      <selection activeCell="J2" sqref="J2"/>
    </sheetView>
  </sheetViews>
  <sheetFormatPr defaultRowHeight="14.4" x14ac:dyDescent="0.3"/>
  <cols>
    <col min="1" max="1" width="8.5546875" style="5" bestFit="1" customWidth="1"/>
    <col min="2" max="7" width="10.6640625" style="5" bestFit="1" customWidth="1"/>
    <col min="8" max="10" width="10.6640625" bestFit="1" customWidth="1"/>
  </cols>
  <sheetData>
    <row r="1" spans="1:10" s="3" customFormat="1" ht="18" x14ac:dyDescent="0.35">
      <c r="A1" s="4" t="s">
        <v>0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</row>
    <row r="2" spans="1:10" x14ac:dyDescent="0.3">
      <c r="A2" s="5">
        <f>'Unit 1'!A2</f>
        <v>1</v>
      </c>
      <c r="B2" s="5">
        <v>100</v>
      </c>
      <c r="C2" s="5">
        <v>100</v>
      </c>
      <c r="D2" s="5">
        <v>100</v>
      </c>
      <c r="E2" s="5">
        <v>100</v>
      </c>
      <c r="F2" s="5">
        <v>100</v>
      </c>
      <c r="G2" s="5">
        <v>100</v>
      </c>
      <c r="H2" s="5">
        <v>100</v>
      </c>
      <c r="I2" s="5">
        <v>100</v>
      </c>
      <c r="J2" s="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zoomScale="175" zoomScaleNormal="175" workbookViewId="0">
      <selection activeCell="B2" sqref="B2:J2"/>
    </sheetView>
  </sheetViews>
  <sheetFormatPr defaultRowHeight="14.4" x14ac:dyDescent="0.3"/>
  <cols>
    <col min="1" max="1" width="8.5546875" style="5" bestFit="1" customWidth="1"/>
    <col min="2" max="7" width="10.6640625" style="5" bestFit="1" customWidth="1"/>
    <col min="8" max="10" width="10.6640625" bestFit="1" customWidth="1"/>
  </cols>
  <sheetData>
    <row r="1" spans="1:10" s="3" customFormat="1" ht="18" x14ac:dyDescent="0.35">
      <c r="A1" s="4" t="s">
        <v>0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</row>
    <row r="2" spans="1:10" x14ac:dyDescent="0.3">
      <c r="A2" s="5">
        <f>'Unit 1'!A2</f>
        <v>1</v>
      </c>
      <c r="B2" s="5">
        <v>100</v>
      </c>
      <c r="C2" s="5">
        <v>100</v>
      </c>
      <c r="D2" s="5">
        <v>100</v>
      </c>
      <c r="E2" s="5">
        <v>100</v>
      </c>
      <c r="F2" s="5">
        <v>100</v>
      </c>
      <c r="G2" s="5">
        <v>100</v>
      </c>
      <c r="H2" s="5">
        <v>100</v>
      </c>
      <c r="I2" s="5">
        <v>100</v>
      </c>
      <c r="J2" s="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2"/>
  <sheetViews>
    <sheetView tabSelected="1" topLeftCell="AD1" zoomScale="145" zoomScaleNormal="145" workbookViewId="0">
      <pane ySplit="1" topLeftCell="A2" activePane="bottomLeft" state="frozen"/>
      <selection pane="bottomLeft" activeCell="DK2" sqref="DK2"/>
    </sheetView>
  </sheetViews>
  <sheetFormatPr defaultColWidth="8.88671875" defaultRowHeight="14.4" x14ac:dyDescent="0.3"/>
  <cols>
    <col min="1" max="1" width="10.88671875" style="20" bestFit="1" customWidth="1"/>
    <col min="2" max="2" width="5.33203125" style="20" bestFit="1" customWidth="1"/>
    <col min="3" max="3" width="24" style="20" bestFit="1" customWidth="1"/>
    <col min="4" max="4" width="6.88671875" style="20" bestFit="1" customWidth="1"/>
    <col min="5" max="13" width="18.88671875" style="20" bestFit="1" customWidth="1"/>
    <col min="14" max="14" width="14" style="21" bestFit="1" customWidth="1"/>
    <col min="15" max="23" width="18.88671875" style="20" bestFit="1" customWidth="1"/>
    <col min="24" max="24" width="14" style="24" bestFit="1" customWidth="1"/>
    <col min="25" max="33" width="18.88671875" style="20" bestFit="1" customWidth="1"/>
    <col min="34" max="34" width="14" style="22" bestFit="1" customWidth="1"/>
    <col min="35" max="42" width="18.88671875" style="20" bestFit="1" customWidth="1"/>
    <col min="43" max="43" width="18.88671875" style="29" bestFit="1" customWidth="1"/>
    <col min="44" max="44" width="14" style="24" bestFit="1" customWidth="1"/>
    <col min="45" max="53" width="30.33203125" style="20" bestFit="1" customWidth="1"/>
    <col min="54" max="54" width="31" style="20" bestFit="1" customWidth="1"/>
    <col min="55" max="63" width="16.5546875" style="20" bestFit="1" customWidth="1"/>
    <col min="64" max="64" width="11.6640625" style="20" bestFit="1" customWidth="1"/>
    <col min="65" max="73" width="20" style="20" bestFit="1" customWidth="1"/>
    <col min="74" max="74" width="15.109375" style="25" bestFit="1" customWidth="1"/>
    <col min="75" max="83" width="17" style="20" bestFit="1" customWidth="1"/>
    <col min="84" max="84" width="28.5546875" style="20" bestFit="1" customWidth="1"/>
    <col min="85" max="93" width="22" style="20" bestFit="1" customWidth="1"/>
    <col min="94" max="94" width="23.5546875" style="20" bestFit="1" customWidth="1"/>
    <col min="95" max="103" width="25.5546875" style="20" bestFit="1" customWidth="1"/>
    <col min="104" max="104" width="33.33203125" style="20" bestFit="1" customWidth="1"/>
    <col min="105" max="113" width="25.33203125" style="20" bestFit="1" customWidth="1"/>
    <col min="114" max="114" width="23.44140625" style="20" bestFit="1" customWidth="1"/>
    <col min="115" max="115" width="13.6640625" style="20" bestFit="1" customWidth="1"/>
    <col min="116" max="116" width="8" style="20" bestFit="1" customWidth="1"/>
    <col min="117" max="16384" width="8.88671875" style="20"/>
  </cols>
  <sheetData>
    <row r="1" spans="1:116" s="17" customFormat="1" ht="18" x14ac:dyDescent="0.35">
      <c r="A1" s="8" t="s">
        <v>135</v>
      </c>
      <c r="B1" s="8" t="s">
        <v>2</v>
      </c>
      <c r="C1" s="8" t="s">
        <v>1</v>
      </c>
      <c r="D1" s="9" t="s">
        <v>3</v>
      </c>
      <c r="E1" s="28" t="s">
        <v>17</v>
      </c>
      <c r="F1" s="28" t="s">
        <v>18</v>
      </c>
      <c r="G1" s="28" t="s">
        <v>19</v>
      </c>
      <c r="H1" s="28" t="s">
        <v>20</v>
      </c>
      <c r="I1" s="28" t="s">
        <v>21</v>
      </c>
      <c r="J1" s="28" t="s">
        <v>22</v>
      </c>
      <c r="K1" s="28" t="s">
        <v>23</v>
      </c>
      <c r="L1" s="28" t="s">
        <v>24</v>
      </c>
      <c r="M1" s="28" t="s">
        <v>25</v>
      </c>
      <c r="N1" s="18" t="s">
        <v>4</v>
      </c>
      <c r="O1" s="10" t="s">
        <v>26</v>
      </c>
      <c r="P1" s="10" t="s">
        <v>27</v>
      </c>
      <c r="Q1" s="10" t="s">
        <v>28</v>
      </c>
      <c r="R1" s="10" t="s">
        <v>29</v>
      </c>
      <c r="S1" s="10" t="s">
        <v>30</v>
      </c>
      <c r="T1" s="10" t="s">
        <v>31</v>
      </c>
      <c r="U1" s="10" t="s">
        <v>32</v>
      </c>
      <c r="V1" s="10" t="s">
        <v>33</v>
      </c>
      <c r="W1" s="10" t="s">
        <v>34</v>
      </c>
      <c r="X1" s="23" t="s">
        <v>5</v>
      </c>
      <c r="Y1" s="11" t="s">
        <v>35</v>
      </c>
      <c r="Z1" s="11" t="s">
        <v>36</v>
      </c>
      <c r="AA1" s="11" t="s">
        <v>37</v>
      </c>
      <c r="AB1" s="11" t="s">
        <v>38</v>
      </c>
      <c r="AC1" s="11" t="s">
        <v>39</v>
      </c>
      <c r="AD1" s="11" t="s">
        <v>40</v>
      </c>
      <c r="AE1" s="11" t="s">
        <v>41</v>
      </c>
      <c r="AF1" s="11" t="s">
        <v>42</v>
      </c>
      <c r="AG1" s="11" t="s">
        <v>43</v>
      </c>
      <c r="AH1" s="19" t="s">
        <v>6</v>
      </c>
      <c r="AI1" s="12" t="s">
        <v>44</v>
      </c>
      <c r="AJ1" s="12" t="s">
        <v>45</v>
      </c>
      <c r="AK1" s="12" t="s">
        <v>46</v>
      </c>
      <c r="AL1" s="12" t="s">
        <v>47</v>
      </c>
      <c r="AM1" s="12" t="s">
        <v>48</v>
      </c>
      <c r="AN1" s="12" t="s">
        <v>49</v>
      </c>
      <c r="AO1" s="12" t="s">
        <v>50</v>
      </c>
      <c r="AP1" s="12" t="s">
        <v>51</v>
      </c>
      <c r="AQ1" s="12" t="s">
        <v>52</v>
      </c>
      <c r="AR1" s="23" t="s">
        <v>7</v>
      </c>
      <c r="AS1" s="13" t="s">
        <v>53</v>
      </c>
      <c r="AT1" s="13" t="s">
        <v>54</v>
      </c>
      <c r="AU1" s="13" t="s">
        <v>55</v>
      </c>
      <c r="AV1" s="13" t="s">
        <v>56</v>
      </c>
      <c r="AW1" s="13" t="s">
        <v>57</v>
      </c>
      <c r="AX1" s="13" t="s">
        <v>58</v>
      </c>
      <c r="AY1" s="13" t="s">
        <v>59</v>
      </c>
      <c r="AZ1" s="13" t="s">
        <v>60</v>
      </c>
      <c r="BA1" s="13" t="s">
        <v>61</v>
      </c>
      <c r="BB1" s="26" t="s">
        <v>62</v>
      </c>
      <c r="BC1" s="14" t="s">
        <v>63</v>
      </c>
      <c r="BD1" s="14" t="s">
        <v>64</v>
      </c>
      <c r="BE1" s="14" t="s">
        <v>65</v>
      </c>
      <c r="BF1" s="14" t="s">
        <v>66</v>
      </c>
      <c r="BG1" s="14" t="s">
        <v>67</v>
      </c>
      <c r="BH1" s="14" t="s">
        <v>68</v>
      </c>
      <c r="BI1" s="14" t="s">
        <v>69</v>
      </c>
      <c r="BJ1" s="14" t="s">
        <v>70</v>
      </c>
      <c r="BK1" s="14" t="s">
        <v>71</v>
      </c>
      <c r="BL1" s="19" t="s">
        <v>8</v>
      </c>
      <c r="BM1" s="11" t="s">
        <v>90</v>
      </c>
      <c r="BN1" s="11" t="s">
        <v>91</v>
      </c>
      <c r="BO1" s="11" t="s">
        <v>92</v>
      </c>
      <c r="BP1" s="11" t="s">
        <v>93</v>
      </c>
      <c r="BQ1" s="11" t="s">
        <v>94</v>
      </c>
      <c r="BR1" s="11" t="s">
        <v>95</v>
      </c>
      <c r="BS1" s="11" t="s">
        <v>96</v>
      </c>
      <c r="BT1" s="11" t="s">
        <v>97</v>
      </c>
      <c r="BU1" s="11" t="s">
        <v>98</v>
      </c>
      <c r="BV1" s="18" t="s">
        <v>15</v>
      </c>
      <c r="BW1" s="27" t="s">
        <v>99</v>
      </c>
      <c r="BX1" s="27" t="s">
        <v>100</v>
      </c>
      <c r="BY1" s="27" t="s">
        <v>101</v>
      </c>
      <c r="BZ1" s="27" t="s">
        <v>102</v>
      </c>
      <c r="CA1" s="27" t="s">
        <v>103</v>
      </c>
      <c r="CB1" s="27" t="s">
        <v>104</v>
      </c>
      <c r="CC1" s="27" t="s">
        <v>105</v>
      </c>
      <c r="CD1" s="27" t="s">
        <v>106</v>
      </c>
      <c r="CE1" s="27" t="s">
        <v>107</v>
      </c>
      <c r="CF1" s="15" t="s">
        <v>9</v>
      </c>
      <c r="CG1" s="27" t="s">
        <v>108</v>
      </c>
      <c r="CH1" s="27" t="s">
        <v>109</v>
      </c>
      <c r="CI1" s="27" t="s">
        <v>110</v>
      </c>
      <c r="CJ1" s="27" t="s">
        <v>111</v>
      </c>
      <c r="CK1" s="27" t="s">
        <v>112</v>
      </c>
      <c r="CL1" s="27" t="s">
        <v>113</v>
      </c>
      <c r="CM1" s="27" t="s">
        <v>114</v>
      </c>
      <c r="CN1" s="27" t="s">
        <v>115</v>
      </c>
      <c r="CO1" s="27" t="s">
        <v>116</v>
      </c>
      <c r="CP1" s="15" t="s">
        <v>10</v>
      </c>
      <c r="CQ1" s="27" t="s">
        <v>117</v>
      </c>
      <c r="CR1" s="27" t="s">
        <v>118</v>
      </c>
      <c r="CS1" s="27" t="s">
        <v>119</v>
      </c>
      <c r="CT1" s="27" t="s">
        <v>120</v>
      </c>
      <c r="CU1" s="27" t="s">
        <v>121</v>
      </c>
      <c r="CV1" s="27" t="s">
        <v>122</v>
      </c>
      <c r="CW1" s="27" t="s">
        <v>123</v>
      </c>
      <c r="CX1" s="27" t="s">
        <v>124</v>
      </c>
      <c r="CY1" s="27" t="s">
        <v>125</v>
      </c>
      <c r="CZ1" s="15" t="s">
        <v>11</v>
      </c>
      <c r="DA1" s="15" t="s">
        <v>126</v>
      </c>
      <c r="DB1" s="15" t="s">
        <v>127</v>
      </c>
      <c r="DC1" s="15" t="s">
        <v>128</v>
      </c>
      <c r="DD1" s="15" t="s">
        <v>129</v>
      </c>
      <c r="DE1" s="15" t="s">
        <v>130</v>
      </c>
      <c r="DF1" s="15" t="s">
        <v>131</v>
      </c>
      <c r="DG1" s="15" t="s">
        <v>132</v>
      </c>
      <c r="DH1" s="15" t="s">
        <v>133</v>
      </c>
      <c r="DI1" s="15" t="s">
        <v>134</v>
      </c>
      <c r="DJ1" s="15" t="s">
        <v>12</v>
      </c>
      <c r="DK1" s="15" t="s">
        <v>13</v>
      </c>
      <c r="DL1" s="16" t="s">
        <v>14</v>
      </c>
    </row>
    <row r="2" spans="1:116" x14ac:dyDescent="0.3">
      <c r="A2" s="30"/>
      <c r="B2" s="20">
        <f>'Unit 1'!A2</f>
        <v>1</v>
      </c>
      <c r="C2" s="20" t="str">
        <f>'Unit 1'!B2</f>
        <v>Saidur Rohman Barbhuiya</v>
      </c>
      <c r="D2" s="20">
        <v>10</v>
      </c>
      <c r="E2" s="20">
        <f>'Unit 1'!C2</f>
        <v>25</v>
      </c>
      <c r="F2" s="20">
        <f>'Unit 1'!D2</f>
        <v>25</v>
      </c>
      <c r="G2" s="20">
        <f>'Unit 1'!E2</f>
        <v>25</v>
      </c>
      <c r="H2" s="20">
        <f>'Unit 1'!F2</f>
        <v>25</v>
      </c>
      <c r="I2" s="20">
        <f>'Unit 1'!G2</f>
        <v>25</v>
      </c>
      <c r="J2" s="20">
        <f>'Unit 1'!H2</f>
        <v>25</v>
      </c>
      <c r="K2" s="20">
        <f>'Unit 1'!I2</f>
        <v>25</v>
      </c>
      <c r="L2" s="20">
        <f>'Unit 1'!J2</f>
        <v>25</v>
      </c>
      <c r="M2" s="20">
        <f>'Unit 1'!K2</f>
        <v>25</v>
      </c>
      <c r="N2" s="21">
        <f>SUM(E2:M2)</f>
        <v>225</v>
      </c>
      <c r="O2" s="20">
        <f>'Unit 2'!B2</f>
        <v>25</v>
      </c>
      <c r="P2" s="20">
        <f>'Unit 2'!C2</f>
        <v>25</v>
      </c>
      <c r="Q2" s="20">
        <f>'Unit 2'!D2</f>
        <v>25</v>
      </c>
      <c r="R2" s="20">
        <f>'Unit 2'!E2</f>
        <v>25</v>
      </c>
      <c r="S2" s="20">
        <f>'Unit 2'!F2</f>
        <v>25</v>
      </c>
      <c r="T2" s="20">
        <f>'Unit 2'!G2</f>
        <v>25</v>
      </c>
      <c r="U2" s="20">
        <f>'Unit 2'!H2</f>
        <v>25</v>
      </c>
      <c r="V2" s="20">
        <f>'Unit 2'!I2</f>
        <v>25</v>
      </c>
      <c r="W2" s="20">
        <f>'Unit 2'!J2</f>
        <v>25</v>
      </c>
      <c r="X2" s="24">
        <f>SUM(O2:W2)</f>
        <v>225</v>
      </c>
      <c r="Y2" s="20">
        <f>'Unit 3'!B2</f>
        <v>25</v>
      </c>
      <c r="Z2" s="20">
        <f>'Unit 3'!C2</f>
        <v>25</v>
      </c>
      <c r="AA2" s="20">
        <f>'Unit 3'!D2</f>
        <v>25</v>
      </c>
      <c r="AB2" s="20">
        <f>'Unit 3'!E2</f>
        <v>25</v>
      </c>
      <c r="AC2" s="20">
        <f>'Unit 3'!F2</f>
        <v>25</v>
      </c>
      <c r="AD2" s="20">
        <f>'Unit 3'!G2</f>
        <v>25</v>
      </c>
      <c r="AE2" s="20">
        <f>'Unit 3'!H2</f>
        <v>25</v>
      </c>
      <c r="AF2" s="20">
        <f>'Unit 3'!I2</f>
        <v>25</v>
      </c>
      <c r="AG2" s="20">
        <f>'Unit 3'!J2</f>
        <v>25</v>
      </c>
      <c r="AH2" s="22">
        <f>SUM(Y2:AG2)</f>
        <v>225</v>
      </c>
      <c r="AI2" s="20">
        <f>'Unit 4'!B2</f>
        <v>25</v>
      </c>
      <c r="AJ2" s="20">
        <f>'Unit 4'!C2</f>
        <v>25</v>
      </c>
      <c r="AK2" s="20">
        <f>'Unit 4'!D2</f>
        <v>25</v>
      </c>
      <c r="AL2" s="20">
        <f>'Unit 4'!E2</f>
        <v>25</v>
      </c>
      <c r="AM2" s="20">
        <f>'Unit 4'!F2</f>
        <v>25</v>
      </c>
      <c r="AN2" s="20">
        <f>'Unit 4'!G2</f>
        <v>25</v>
      </c>
      <c r="AO2" s="20">
        <f>'Unit 4'!H2</f>
        <v>25</v>
      </c>
      <c r="AP2" s="20">
        <f>'Unit 4'!I2</f>
        <v>25</v>
      </c>
      <c r="AQ2" s="20">
        <f>'Unit 4'!J2</f>
        <v>25</v>
      </c>
      <c r="AR2" s="24">
        <f>SUM(AI2:AQ2)</f>
        <v>225</v>
      </c>
      <c r="AS2" s="20">
        <f>SUM(E2,O2,Y2,AI2,)</f>
        <v>100</v>
      </c>
      <c r="AT2" s="20">
        <f t="shared" ref="AT2:AX2" si="0">SUM(F2,P2,Z2,AJ2,)</f>
        <v>100</v>
      </c>
      <c r="AU2" s="20">
        <f t="shared" si="0"/>
        <v>100</v>
      </c>
      <c r="AV2" s="20">
        <f t="shared" si="0"/>
        <v>100</v>
      </c>
      <c r="AW2" s="20">
        <f t="shared" si="0"/>
        <v>100</v>
      </c>
      <c r="AX2" s="20">
        <f t="shared" si="0"/>
        <v>100</v>
      </c>
      <c r="AY2" s="20">
        <f>SUM(K2,U2,AE2,AO2,)</f>
        <v>100</v>
      </c>
      <c r="AZ2" s="20">
        <f t="shared" ref="AZ2" si="1">SUM(L2,V2,AF2,AP2,)</f>
        <v>100</v>
      </c>
      <c r="BA2" s="20">
        <f>SUM(M2,W2,AG2,AQ2,)</f>
        <v>100</v>
      </c>
      <c r="BB2" s="20">
        <f>SUM(AS2:BA2)</f>
        <v>900</v>
      </c>
      <c r="BC2" s="20">
        <f>'Half yearly'!B2</f>
        <v>100</v>
      </c>
      <c r="BD2" s="20">
        <f>'Half yearly'!C2</f>
        <v>100</v>
      </c>
      <c r="BE2" s="20">
        <f>'Half yearly'!D2</f>
        <v>100</v>
      </c>
      <c r="BF2" s="20">
        <f>'Half yearly'!E2</f>
        <v>100</v>
      </c>
      <c r="BG2" s="20">
        <f>'Half yearly'!F2</f>
        <v>100</v>
      </c>
      <c r="BH2" s="20">
        <f>'Half yearly'!G2</f>
        <v>100</v>
      </c>
      <c r="BI2" s="20">
        <f>'Half yearly'!H2</f>
        <v>100</v>
      </c>
      <c r="BJ2" s="20">
        <f>'Half yearly'!I2</f>
        <v>100</v>
      </c>
      <c r="BK2" s="20">
        <f>'Half yearly'!J2</f>
        <v>100</v>
      </c>
      <c r="BL2" s="20">
        <f>SUM(BC2:BK2)</f>
        <v>900</v>
      </c>
      <c r="BM2" s="20">
        <f>Annual!B2</f>
        <v>100</v>
      </c>
      <c r="BN2" s="20">
        <f>Annual!C2</f>
        <v>100</v>
      </c>
      <c r="BO2" s="20">
        <f>Annual!D2</f>
        <v>100</v>
      </c>
      <c r="BP2" s="20">
        <f>Annual!E2</f>
        <v>100</v>
      </c>
      <c r="BQ2" s="20">
        <f>Annual!F2</f>
        <v>100</v>
      </c>
      <c r="BR2" s="20">
        <f>Annual!G2</f>
        <v>100</v>
      </c>
      <c r="BS2" s="20">
        <f>Annual!H2</f>
        <v>100</v>
      </c>
      <c r="BT2" s="20">
        <f>Annual!I2</f>
        <v>100</v>
      </c>
      <c r="BU2" s="20">
        <f>Annual!J2</f>
        <v>100</v>
      </c>
      <c r="BV2" s="25">
        <f>SUM(BM2:BU2)</f>
        <v>900</v>
      </c>
      <c r="BW2" s="20">
        <f>IF(INT(SUM(E2, O2, Y2, AI2) * 0.2) &lt;&gt; A1, IF(SUM(E2, O2, Y2, AI2,) * 0.2 - INT(SUM(E2, O2, Y2, AI2) * 0.2) &gt;= 0.5, ROUNDUP(SUM(E2, O2, Y2, AI2) * 0.2, 0), ROUNDDOWN(SUM(E2, O2, Y2, AI2) * 0.2, 0)), SUM(E2, O2, Y2, AI2) * 0.2)</f>
        <v>20</v>
      </c>
      <c r="BX2" s="20">
        <f t="shared" ref="BX2:CE2" si="2">IF(INT(SUM(F2, P2, Z2, AJ2) * 0.2) &lt;&gt; B1, IF(SUM(F2, P2, Z2, AJ2,) * 0.2 - INT(SUM(F2, P2, Z2, AJ2) * 0.2) &gt;= 0.5, ROUNDUP(SUM(F2, P2, Z2, AJ2) * 0.2, 0), ROUNDDOWN(SUM(F2, P2, Z2, AJ2) * 0.2, 0)), SUM(F2, P2, Z2, AJ2) * 0.2)</f>
        <v>20</v>
      </c>
      <c r="BY2" s="20">
        <f t="shared" si="2"/>
        <v>20</v>
      </c>
      <c r="BZ2" s="20">
        <f t="shared" si="2"/>
        <v>20</v>
      </c>
      <c r="CA2" s="20">
        <f t="shared" si="2"/>
        <v>20</v>
      </c>
      <c r="CB2" s="20">
        <f t="shared" si="2"/>
        <v>20</v>
      </c>
      <c r="CC2" s="20">
        <f t="shared" si="2"/>
        <v>20</v>
      </c>
      <c r="CD2" s="20">
        <f t="shared" si="2"/>
        <v>20</v>
      </c>
      <c r="CE2" s="20">
        <f t="shared" si="2"/>
        <v>20</v>
      </c>
      <c r="CF2" s="20">
        <f>IF(INT(SUM(N2, X2, AH2, AR2) * 0.2) &lt;&gt; J1, IF(SUM(N2, X2, AH2, AR2,) * 0.2 - INT(SUM(N2, X2, AH2, AR2) * 0.2) &gt;= 0.5, ROUNDUP(SUM(N2, X2, AH2, AR2) * 0.2, 0), ROUNDDOWN(SUM(N2, X2, AH2, AR2) * 0.2, 0)), SUM(N2, X2, AH2, AR2) * 0.2)</f>
        <v>180</v>
      </c>
      <c r="CG2" s="20">
        <f>IF(INT(SUM(BC2) * 0.3) &lt;&gt; A1, IF(SUM(BC2) * 0.3 - INT(SUM(BC2) * 0.3) &gt;= 0.5, ROUNDUP(SUM(BC2) * 0.3, 0), ROUNDDOWN(SUM(BC2) * 0.3, 0)), SUM(BC2) * 0.3)</f>
        <v>30</v>
      </c>
      <c r="CH2" s="20">
        <f t="shared" ref="CH2:CO2" si="3">IF(INT(SUM(BD2) * 0.3) &lt;&gt; B1, IF(SUM(BD2) * 0.3 - INT(SUM(BD2) * 0.3) &gt;= 0.5, ROUNDUP(SUM(BD2) * 0.3, 0), ROUNDDOWN(SUM(BD2) * 0.3, 0)), SUM(BD2) * 0.3)</f>
        <v>30</v>
      </c>
      <c r="CI2" s="20">
        <f t="shared" si="3"/>
        <v>30</v>
      </c>
      <c r="CJ2" s="20">
        <f t="shared" si="3"/>
        <v>30</v>
      </c>
      <c r="CK2" s="20">
        <f t="shared" si="3"/>
        <v>30</v>
      </c>
      <c r="CL2" s="20">
        <f t="shared" si="3"/>
        <v>30</v>
      </c>
      <c r="CM2" s="20">
        <f t="shared" si="3"/>
        <v>30</v>
      </c>
      <c r="CN2" s="20">
        <f t="shared" si="3"/>
        <v>30</v>
      </c>
      <c r="CO2" s="20">
        <f t="shared" si="3"/>
        <v>30</v>
      </c>
      <c r="CP2" s="20">
        <f>IF(INT(SUM(BL2) * 0.3) &lt;&gt; G1, IF(SUM(BL2) * 0.3 - INT(SUM(BL2) * 0.3) &gt;= 0.5, ROUNDUP(SUM(BL2) * 0.3, 0), ROUNDDOWN(SUM(BL2) * 0.3, 0)), SUM(BL2) * 0.3)</f>
        <v>270</v>
      </c>
      <c r="CQ2" s="20">
        <f>IF(INT(SUM(BM2) * 0.5) &lt;&gt; A1, IF(SUM(BM2) * 0.5 - INT(SUM(BM2) * 0.5) &gt;= 0.5, ROUNDUP(SUM(BM2) * 0.5, 0), ROUNDDOWN(SUM(BM2) * 0.5, 0)), SUM(BM2) * 0.5)</f>
        <v>50</v>
      </c>
      <c r="CR2" s="20">
        <f>IF(INT(SUM(BN2) * 0.5) &lt;&gt; B1, IF(SUM(BN2) * 0.5 - INT(SUM(BN2) * 0.5) &gt;= 0.5, ROUNDUP(SUM(BN2) * 0.5, 0), ROUNDDOWN(SUM(BN2) * 0.5, 0)), SUM(BN2) * 0.5)</f>
        <v>50</v>
      </c>
      <c r="CS2" s="20">
        <f t="shared" ref="CS2:CY2" si="4">IF(INT(SUM(BO2) * 0.5) &lt;&gt; C1, IF(SUM(BO2) * 0.5 - INT(SUM(BO2) * 0.5) &gt;= 0.5, ROUNDUP(SUM(BO2) * 0.5, 0), ROUNDDOWN(SUM(BO2) * 0.5, 0)), SUM(BO2) * 0.5)</f>
        <v>50</v>
      </c>
      <c r="CT2" s="20">
        <f t="shared" si="4"/>
        <v>50</v>
      </c>
      <c r="CU2" s="20">
        <f t="shared" si="4"/>
        <v>50</v>
      </c>
      <c r="CV2" s="20">
        <f t="shared" si="4"/>
        <v>50</v>
      </c>
      <c r="CW2" s="20">
        <f t="shared" si="4"/>
        <v>50</v>
      </c>
      <c r="CX2" s="20">
        <f t="shared" si="4"/>
        <v>50</v>
      </c>
      <c r="CY2" s="20">
        <f t="shared" si="4"/>
        <v>50</v>
      </c>
      <c r="CZ2" s="20">
        <f>IF(INT(SUM(BV2) * 0.5) &lt;&gt; G1, IF(SUM(BV2) * 0.5 - INT(SUM(BV2) * 0.5) &gt;= 0.5, ROUNDUP(SUM(BV2) * 0.5, 0), ROUNDDOWN(SUM(BV2) * 0.5, 0)), SUM(BV2) * 0.5)</f>
        <v>450</v>
      </c>
      <c r="DA2" s="20">
        <f>SUM(BW2,CG2,CQ2)</f>
        <v>100</v>
      </c>
      <c r="DB2" s="20">
        <f>SUM(BX2,CH2,CR2)</f>
        <v>100</v>
      </c>
      <c r="DC2" s="20">
        <f>SUM(BY2,CI2,CS2)</f>
        <v>100</v>
      </c>
      <c r="DD2" s="20">
        <f>SUM(BZ2,CJ2,CT2)</f>
        <v>100</v>
      </c>
      <c r="DE2" s="20">
        <f>SUM(CA2,CK2,CU2)</f>
        <v>100</v>
      </c>
      <c r="DF2" s="20">
        <f t="shared" ref="DF2:DI2" si="5">SUM(CB2,CL2,CV2)</f>
        <v>100</v>
      </c>
      <c r="DG2" s="20">
        <f t="shared" si="5"/>
        <v>100</v>
      </c>
      <c r="DH2" s="20">
        <f t="shared" si="5"/>
        <v>100</v>
      </c>
      <c r="DI2" s="20">
        <f t="shared" si="5"/>
        <v>100</v>
      </c>
      <c r="DJ2" s="20">
        <f>SUM(DA2:DI2)</f>
        <v>900</v>
      </c>
      <c r="DK2" s="30">
        <f>SUM(DA2:DI2)/900*100</f>
        <v>100</v>
      </c>
      <c r="DL2" s="20" t="str">
        <f>IF(DK2&gt;=80,"A+",IF(DK2&gt;=70,"A",IF(DK2&gt;=60,"B+",IF(DK2&gt;=50,"B",IF(DK2&gt;=40,"C",IF(DK2&gt;=30,"E","FAIL"))))))</f>
        <v>A+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Unit 1</vt:lpstr>
      <vt:lpstr>Unit 2</vt:lpstr>
      <vt:lpstr>Unit 3</vt:lpstr>
      <vt:lpstr>Unit 4</vt:lpstr>
      <vt:lpstr>Half yearly</vt:lpstr>
      <vt:lpstr>Annual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2025-09-22T15:09:55Z</dcterms:modified>
</cp:coreProperties>
</file>