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594" activeTab="2"/>
  </bookViews>
  <sheets>
    <sheet name="Half yearly" sheetId="5" r:id="rId1"/>
    <sheet name="Annual" sheetId="6" r:id="rId2"/>
    <sheet name="Calculation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7" l="1"/>
  <c r="P2" i="7"/>
  <c r="O2" i="7"/>
  <c r="N2" i="7"/>
  <c r="B3" i="7" l="1"/>
  <c r="C3" i="7"/>
  <c r="E3" i="7"/>
  <c r="F3" i="7"/>
  <c r="G3" i="7"/>
  <c r="H3" i="7"/>
  <c r="I3" i="7" s="1"/>
  <c r="J3" i="7"/>
  <c r="N3" i="7" s="1"/>
  <c r="K3" i="7"/>
  <c r="L3" i="7"/>
  <c r="M3" i="7"/>
  <c r="B3" i="6"/>
  <c r="A3" i="6"/>
  <c r="B2" i="7"/>
  <c r="B2" i="6"/>
  <c r="C2" i="7" s="1"/>
  <c r="A2" i="6"/>
  <c r="Q3" i="7" l="1"/>
  <c r="O3" i="7"/>
  <c r="R3" i="7"/>
  <c r="P3" i="7"/>
  <c r="S3" i="7"/>
  <c r="T3" i="7" s="1"/>
  <c r="U3" i="7" s="1"/>
  <c r="Q2" i="7" l="1"/>
  <c r="R2" i="7"/>
  <c r="I2" i="7" l="1"/>
  <c r="T2" i="7" l="1"/>
  <c r="U2" i="7" s="1"/>
</calcChain>
</file>

<file path=xl/sharedStrings.xml><?xml version="1.0" encoding="utf-8"?>
<sst xmlns="http://schemas.openxmlformats.org/spreadsheetml/2006/main" count="37" uniqueCount="29">
  <si>
    <t>Roll No</t>
  </si>
  <si>
    <t>Name</t>
  </si>
  <si>
    <t>Roll</t>
  </si>
  <si>
    <t>Class</t>
  </si>
  <si>
    <t>Total Helf</t>
  </si>
  <si>
    <t>Total of Grand Total</t>
  </si>
  <si>
    <t>Percentage</t>
  </si>
  <si>
    <t>Grade</t>
  </si>
  <si>
    <t>Total Annual</t>
  </si>
  <si>
    <t>New Roll</t>
  </si>
  <si>
    <t>English</t>
  </si>
  <si>
    <t>Bengail</t>
  </si>
  <si>
    <t>G Maths</t>
  </si>
  <si>
    <t>Conv</t>
  </si>
  <si>
    <t>Nursury</t>
  </si>
  <si>
    <t>Saidur Rohamn Barbhuiya</t>
  </si>
  <si>
    <t>Joydur Rahman Barbhuiya</t>
  </si>
  <si>
    <t>English H</t>
  </si>
  <si>
    <t>Bengail H</t>
  </si>
  <si>
    <t>G Maths H</t>
  </si>
  <si>
    <t>Conv H</t>
  </si>
  <si>
    <t>English A</t>
  </si>
  <si>
    <t>Bengail A</t>
  </si>
  <si>
    <t>G Maths A</t>
  </si>
  <si>
    <t>Conv A</t>
  </si>
  <si>
    <t>English T</t>
  </si>
  <si>
    <t>Bengail T</t>
  </si>
  <si>
    <t>G Maths T</t>
  </si>
  <si>
    <t>Conv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</si>
</sst>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Fill="1" applyBorder="1" applyAlignment="1" applyProtection="1">
      <alignment horizontal="center"/>
      <protection locked="0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3"/>
  <sheetViews>
    <sheetView zoomScale="175" zoomScaleNormal="175" workbookViewId="0">
      <selection activeCell="D10" sqref="D10"/>
    </sheetView>
  </sheetViews>
  <sheetFormatPr defaultRowHeight="14.4" x14ac:dyDescent="0.3"/>
  <cols>
    <col min="1" max="1" width="8.5546875" style="4" bestFit="1" customWidth="1"/>
    <col min="2" max="2" width="22.21875" style="4" bestFit="1" customWidth="1"/>
    <col min="3" max="3" width="8.44140625" style="4" bestFit="1" customWidth="1"/>
    <col min="4" max="4" width="8.6640625" style="4" bestFit="1" customWidth="1"/>
    <col min="5" max="5" width="10" style="4" bestFit="1" customWidth="1"/>
    <col min="6" max="6" width="6.44140625" style="4" bestFit="1" customWidth="1"/>
    <col min="7" max="8" width="10.77734375" style="4" bestFit="1" customWidth="1"/>
    <col min="9" max="11" width="10.77734375" bestFit="1" customWidth="1"/>
  </cols>
  <sheetData>
    <row r="1" spans="1:11" s="2" customFormat="1" ht="18" x14ac:dyDescent="0.35">
      <c r="A1" s="3" t="s">
        <v>0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13</v>
      </c>
      <c r="G1" s="3"/>
      <c r="H1" s="3"/>
      <c r="I1" s="3"/>
      <c r="J1" s="3"/>
      <c r="K1" s="3"/>
    </row>
    <row r="2" spans="1:11" x14ac:dyDescent="0.3">
      <c r="A2" s="4">
        <v>1</v>
      </c>
      <c r="B2" s="4" t="s">
        <v>15</v>
      </c>
      <c r="C2" s="4">
        <v>30</v>
      </c>
      <c r="D2" s="4">
        <v>35</v>
      </c>
      <c r="E2" s="4">
        <v>40</v>
      </c>
      <c r="F2" s="4">
        <v>45</v>
      </c>
      <c r="I2" s="4"/>
      <c r="J2" s="4"/>
      <c r="K2" s="4"/>
    </row>
    <row r="3" spans="1:11" x14ac:dyDescent="0.3">
      <c r="A3" s="4">
        <v>2</v>
      </c>
      <c r="B3" s="4" t="s">
        <v>16</v>
      </c>
      <c r="C3" s="4">
        <v>20</v>
      </c>
      <c r="D3" s="4">
        <v>34</v>
      </c>
      <c r="E3" s="4">
        <v>13</v>
      </c>
      <c r="F3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3"/>
  <sheetViews>
    <sheetView zoomScale="175" zoomScaleNormal="175" workbookViewId="0">
      <selection activeCell="B10" sqref="B10"/>
    </sheetView>
  </sheetViews>
  <sheetFormatPr defaultRowHeight="14.4" x14ac:dyDescent="0.3"/>
  <cols>
    <col min="1" max="1" width="8.5546875" style="6" bestFit="1" customWidth="1"/>
    <col min="2" max="2" width="22.21875" style="6" bestFit="1" customWidth="1"/>
    <col min="3" max="3" width="8.44140625" style="6" bestFit="1" customWidth="1"/>
    <col min="4" max="4" width="8.6640625" style="6" bestFit="1" customWidth="1"/>
    <col min="5" max="5" width="10" style="6" bestFit="1" customWidth="1"/>
    <col min="6" max="6" width="6.44140625" style="6" bestFit="1" customWidth="1"/>
    <col min="7" max="8" width="10.6640625" style="6" bestFit="1" customWidth="1"/>
    <col min="9" max="11" width="10.6640625" style="5" bestFit="1" customWidth="1"/>
    <col min="12" max="16384" width="8.88671875" style="5"/>
  </cols>
  <sheetData>
    <row r="1" spans="1:11" s="1" customFormat="1" ht="18" x14ac:dyDescent="0.35">
      <c r="A1" s="3" t="s">
        <v>0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13</v>
      </c>
      <c r="G1" s="3"/>
      <c r="H1" s="3"/>
      <c r="I1" s="3"/>
      <c r="J1" s="3"/>
      <c r="K1" s="3"/>
    </row>
    <row r="2" spans="1:11" x14ac:dyDescent="0.3">
      <c r="A2" s="6">
        <f>'Half yearly'!A2</f>
        <v>1</v>
      </c>
      <c r="B2" s="5" t="str">
        <f>'Half yearly'!B2</f>
        <v>Saidur Rohamn Barbhuiya</v>
      </c>
      <c r="C2" s="6">
        <v>7</v>
      </c>
      <c r="D2" s="6">
        <v>9</v>
      </c>
      <c r="E2" s="6">
        <v>5</v>
      </c>
      <c r="F2" s="6">
        <v>9</v>
      </c>
      <c r="I2" s="6"/>
      <c r="J2" s="6"/>
      <c r="K2" s="6"/>
    </row>
    <row r="3" spans="1:11" x14ac:dyDescent="0.3">
      <c r="A3" s="6">
        <f>'Half yearly'!A3</f>
        <v>2</v>
      </c>
      <c r="B3" s="5" t="str">
        <f>'Half yearly'!B3</f>
        <v>Joydur Rahman Barbhuiya</v>
      </c>
      <c r="C3" s="6">
        <v>40</v>
      </c>
      <c r="D3" s="6">
        <v>42</v>
      </c>
      <c r="E3" s="6">
        <v>7</v>
      </c>
      <c r="F3" s="6"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3"/>
  <sheetViews>
    <sheetView tabSelected="1" zoomScale="145" zoomScaleNormal="145" workbookViewId="0">
      <pane ySplit="1" topLeftCell="A2" activePane="bottomLeft" state="frozen"/>
      <selection pane="bottomLeft" activeCell="A4" sqref="A4"/>
    </sheetView>
  </sheetViews>
  <sheetFormatPr defaultColWidth="8.88671875" defaultRowHeight="14.4" x14ac:dyDescent="0.3"/>
  <cols>
    <col min="1" max="1" width="10.44140625" style="9" bestFit="1" customWidth="1"/>
    <col min="2" max="2" width="5" style="9" bestFit="1" customWidth="1"/>
    <col min="3" max="3" width="23" style="9" bestFit="1" customWidth="1"/>
    <col min="4" max="4" width="7.44140625" style="9" bestFit="1" customWidth="1"/>
    <col min="5" max="5" width="10.77734375" style="9" bestFit="1" customWidth="1"/>
    <col min="6" max="6" width="11.109375" style="9" bestFit="1" customWidth="1"/>
    <col min="7" max="7" width="12.109375" style="9" bestFit="1" customWidth="1"/>
    <col min="8" max="8" width="8.5546875" style="9" bestFit="1" customWidth="1"/>
    <col min="9" max="9" width="11.33203125" style="9" bestFit="1" customWidth="1"/>
    <col min="10" max="10" width="10.6640625" style="9" bestFit="1" customWidth="1"/>
    <col min="11" max="11" width="11" style="9" bestFit="1" customWidth="1"/>
    <col min="12" max="12" width="12.109375" style="9" bestFit="1" customWidth="1"/>
    <col min="13" max="13" width="8.44140625" style="9" bestFit="1" customWidth="1"/>
    <col min="14" max="14" width="14.5546875" style="9" bestFit="1" customWidth="1"/>
    <col min="15" max="15" width="10.44140625" style="9" bestFit="1" customWidth="1"/>
    <col min="16" max="16" width="10.77734375" style="9" bestFit="1" customWidth="1"/>
    <col min="17" max="17" width="11.88671875" style="9" bestFit="1" customWidth="1"/>
    <col min="18" max="18" width="8.21875" style="9" bestFit="1" customWidth="1"/>
    <col min="19" max="19" width="22.44140625" style="9" bestFit="1" customWidth="1"/>
    <col min="20" max="20" width="13" style="9" bestFit="1" customWidth="1"/>
    <col min="21" max="21" width="7.44140625" style="9" bestFit="1" customWidth="1"/>
    <col min="22" max="16384" width="8.88671875" style="9"/>
  </cols>
  <sheetData>
    <row r="1" spans="1:21" s="7" customFormat="1" ht="18" x14ac:dyDescent="0.35">
      <c r="A1" s="10" t="s">
        <v>9</v>
      </c>
      <c r="B1" s="10" t="s">
        <v>2</v>
      </c>
      <c r="C1" s="10" t="s">
        <v>1</v>
      </c>
      <c r="D1" s="10" t="s">
        <v>3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4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8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5</v>
      </c>
      <c r="T1" s="13" t="s">
        <v>6</v>
      </c>
      <c r="U1" s="14" t="s">
        <v>7</v>
      </c>
    </row>
    <row r="2" spans="1:21" x14ac:dyDescent="0.3">
      <c r="A2" s="8"/>
      <c r="B2" s="9">
        <f>Annual!A2</f>
        <v>1</v>
      </c>
      <c r="C2" s="9" t="str">
        <f>Annual!B2</f>
        <v>Saidur Rohamn Barbhuiya</v>
      </c>
      <c r="D2" s="9" t="s">
        <v>14</v>
      </c>
      <c r="E2" s="9">
        <v>50</v>
      </c>
      <c r="F2" s="9">
        <v>50</v>
      </c>
      <c r="G2" s="9">
        <v>50</v>
      </c>
      <c r="H2" s="9">
        <v>50</v>
      </c>
      <c r="I2" s="9">
        <f>SUM(E2:H2)</f>
        <v>200</v>
      </c>
      <c r="J2" s="9">
        <v>50</v>
      </c>
      <c r="K2" s="9">
        <v>50</v>
      </c>
      <c r="L2" s="9">
        <v>50</v>
      </c>
      <c r="M2" s="9">
        <v>50</v>
      </c>
      <c r="N2" s="9">
        <f>SUM(J2:M2)</f>
        <v>200</v>
      </c>
      <c r="O2" s="9">
        <f>SUM(E2,J2)</f>
        <v>100</v>
      </c>
      <c r="P2" s="9">
        <f>SUM(F2,K2)</f>
        <v>100</v>
      </c>
      <c r="Q2" s="9">
        <f t="shared" ref="Q2" si="0">SUM(G2,L2)</f>
        <v>100</v>
      </c>
      <c r="R2" s="9">
        <f>SUM(H2,M2)</f>
        <v>100</v>
      </c>
      <c r="S2" s="9">
        <f>SUM(O2:R2)</f>
        <v>400</v>
      </c>
      <c r="T2" s="9">
        <f>SUM(S2)/4</f>
        <v>100</v>
      </c>
      <c r="U2" s="9" t="str">
        <f>IF(T2&gt;=80,"A+",IF(T2&gt;=70,"A",IF(T2&gt;=60,"B+",IF(T2&gt;=50,"B",IF(T2&gt;=40,"C",IF(T2&gt;=30,"E","FAIL"))))))</f>
        <v>A+</v>
      </c>
    </row>
    <row r="3" spans="1:21" x14ac:dyDescent="0.3">
      <c r="B3" s="9">
        <f>Annual!A3</f>
        <v>2</v>
      </c>
      <c r="C3" s="9" t="str">
        <f>Annual!B3</f>
        <v>Joydur Rahman Barbhuiya</v>
      </c>
      <c r="D3" s="9" t="s">
        <v>14</v>
      </c>
      <c r="E3" s="9">
        <f>'Half yearly'!C3</f>
        <v>20</v>
      </c>
      <c r="F3" s="9">
        <f>'Half yearly'!D3</f>
        <v>34</v>
      </c>
      <c r="G3" s="9">
        <f>'Half yearly'!E3</f>
        <v>13</v>
      </c>
      <c r="H3" s="9">
        <f>'Half yearly'!F3</f>
        <v>4</v>
      </c>
      <c r="I3" s="9">
        <f>SUM(E3:H3)</f>
        <v>71</v>
      </c>
      <c r="J3" s="9">
        <f>Annual!C3</f>
        <v>40</v>
      </c>
      <c r="K3" s="9">
        <f>Annual!D3</f>
        <v>42</v>
      </c>
      <c r="L3" s="9">
        <f>Annual!E3</f>
        <v>7</v>
      </c>
      <c r="M3" s="9">
        <f>Annual!F3</f>
        <v>50</v>
      </c>
      <c r="N3" s="9">
        <f>SUM(J3:M3)</f>
        <v>139</v>
      </c>
      <c r="O3" s="9">
        <f>SUM(E3,J3)</f>
        <v>60</v>
      </c>
      <c r="P3" s="9">
        <f t="shared" ref="P3" si="1">SUM(F3,K3)</f>
        <v>76</v>
      </c>
      <c r="Q3" s="9">
        <f t="shared" ref="Q3" si="2">SUM(G3,L3)</f>
        <v>20</v>
      </c>
      <c r="R3" s="9">
        <f t="shared" ref="R3" si="3">SUM(H3,M3)</f>
        <v>54</v>
      </c>
      <c r="S3" s="9">
        <f>SUM(N3,I3)</f>
        <v>210</v>
      </c>
      <c r="T3" s="9">
        <f>SUM(S3)/4</f>
        <v>52.5</v>
      </c>
      <c r="U3" s="9" t="str">
        <f>IF(T3&gt;=80,"A+",IF(T3&gt;=70,"A",IF(T3&gt;=60,"B+",IF(T3&gt;=50,"B",IF(T3&gt;=40,"C",IF(T3&gt;=30,"E","FAIL"))))))</f>
        <v>B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Half yearly</vt:lpstr>
      <vt:lpstr>Annual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2025-12-24T03:03:16Z</dcterms:modified>
</cp:coreProperties>
</file>