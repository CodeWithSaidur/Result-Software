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tabRatio="601" activeTab="5"/>
  </bookViews>
  <sheets>
    <sheet name="Unit 1" sheetId="1" r:id="rId1"/>
    <sheet name="Unit 2" sheetId="2" r:id="rId2"/>
    <sheet name="Half yearly" sheetId="5" r:id="rId3"/>
    <sheet name="Unit 3" sheetId="3" r:id="rId4"/>
    <sheet name="Unit 4" sheetId="4" r:id="rId5"/>
    <sheet name="Annual" sheetId="6" r:id="rId6"/>
    <sheet name="Calculation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2" i="5"/>
  <c r="A2" i="3"/>
  <c r="A2" i="4"/>
  <c r="A2" i="6"/>
  <c r="D2" i="7"/>
  <c r="C2" i="7"/>
  <c r="D8" i="7" l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3" i="7"/>
  <c r="D4" i="7"/>
  <c r="D5" i="7"/>
  <c r="D6" i="7"/>
  <c r="D7" i="7"/>
  <c r="C5" i="7" l="1"/>
  <c r="B3" i="7" l="1"/>
  <c r="C3" i="7"/>
  <c r="E3" i="7"/>
  <c r="F3" i="7"/>
  <c r="G3" i="7"/>
  <c r="H3" i="7"/>
  <c r="I3" i="7" s="1"/>
  <c r="J3" i="7"/>
  <c r="K3" i="7"/>
  <c r="L3" i="7"/>
  <c r="M3" i="7"/>
  <c r="O3" i="7"/>
  <c r="P3" i="7"/>
  <c r="Q3" i="7"/>
  <c r="R3" i="7"/>
  <c r="T3" i="7"/>
  <c r="U3" i="7"/>
  <c r="V3" i="7"/>
  <c r="W3" i="7"/>
  <c r="AD3" i="7"/>
  <c r="AE3" i="7"/>
  <c r="AF3" i="7"/>
  <c r="AG3" i="7"/>
  <c r="AI3" i="7"/>
  <c r="AX3" i="7" s="1"/>
  <c r="AJ3" i="7"/>
  <c r="AK3" i="7"/>
  <c r="AL3" i="7"/>
  <c r="B4" i="7"/>
  <c r="C4" i="7"/>
  <c r="E4" i="7"/>
  <c r="F4" i="7"/>
  <c r="G4" i="7"/>
  <c r="H4" i="7"/>
  <c r="J4" i="7"/>
  <c r="K4" i="7"/>
  <c r="L4" i="7"/>
  <c r="M4" i="7"/>
  <c r="O4" i="7"/>
  <c r="P4" i="7"/>
  <c r="Q4" i="7"/>
  <c r="R4" i="7"/>
  <c r="T4" i="7"/>
  <c r="U4" i="7"/>
  <c r="V4" i="7"/>
  <c r="W4" i="7"/>
  <c r="AD4" i="7"/>
  <c r="AS4" i="7" s="1"/>
  <c r="AE4" i="7"/>
  <c r="AT4" i="7" s="1"/>
  <c r="AF4" i="7"/>
  <c r="AG4" i="7"/>
  <c r="AV4" i="7" s="1"/>
  <c r="AI4" i="7"/>
  <c r="AX4" i="7" s="1"/>
  <c r="AJ4" i="7"/>
  <c r="AY4" i="7" s="1"/>
  <c r="AK4" i="7"/>
  <c r="AZ4" i="7" s="1"/>
  <c r="AL4" i="7"/>
  <c r="BA4" i="7" s="1"/>
  <c r="B5" i="7"/>
  <c r="E5" i="7"/>
  <c r="F5" i="7"/>
  <c r="G5" i="7"/>
  <c r="H5" i="7"/>
  <c r="J5" i="7"/>
  <c r="K5" i="7"/>
  <c r="L5" i="7"/>
  <c r="M5" i="7"/>
  <c r="O5" i="7"/>
  <c r="P5" i="7"/>
  <c r="Q5" i="7"/>
  <c r="R5" i="7"/>
  <c r="T5" i="7"/>
  <c r="U5" i="7"/>
  <c r="V5" i="7"/>
  <c r="W5" i="7"/>
  <c r="AD5" i="7"/>
  <c r="AE5" i="7"/>
  <c r="AF5" i="7"/>
  <c r="AG5" i="7"/>
  <c r="AI5" i="7"/>
  <c r="AJ5" i="7"/>
  <c r="AK5" i="7"/>
  <c r="AL5" i="7"/>
  <c r="B6" i="7"/>
  <c r="C6" i="7"/>
  <c r="E6" i="7"/>
  <c r="F6" i="7"/>
  <c r="G6" i="7"/>
  <c r="H6" i="7"/>
  <c r="J6" i="7"/>
  <c r="K6" i="7"/>
  <c r="L6" i="7"/>
  <c r="M6" i="7"/>
  <c r="O6" i="7"/>
  <c r="P6" i="7"/>
  <c r="Q6" i="7"/>
  <c r="R6" i="7"/>
  <c r="T6" i="7"/>
  <c r="U6" i="7"/>
  <c r="V6" i="7"/>
  <c r="W6" i="7"/>
  <c r="AD6" i="7"/>
  <c r="AS6" i="7" s="1"/>
  <c r="AE6" i="7"/>
  <c r="AF6" i="7"/>
  <c r="AG6" i="7"/>
  <c r="AI6" i="7"/>
  <c r="AJ6" i="7"/>
  <c r="AK6" i="7"/>
  <c r="AL6" i="7"/>
  <c r="B7" i="7"/>
  <c r="C7" i="7"/>
  <c r="E7" i="7"/>
  <c r="F7" i="7"/>
  <c r="G7" i="7"/>
  <c r="H7" i="7"/>
  <c r="J7" i="7"/>
  <c r="K7" i="7"/>
  <c r="L7" i="7"/>
  <c r="M7" i="7"/>
  <c r="O7" i="7"/>
  <c r="P7" i="7"/>
  <c r="Q7" i="7"/>
  <c r="R7" i="7"/>
  <c r="T7" i="7"/>
  <c r="U7" i="7"/>
  <c r="V7" i="7"/>
  <c r="W7" i="7"/>
  <c r="AD7" i="7"/>
  <c r="AS7" i="7" s="1"/>
  <c r="AE7" i="7"/>
  <c r="AF7" i="7"/>
  <c r="AG7" i="7"/>
  <c r="AI7" i="7"/>
  <c r="AX7" i="7" s="1"/>
  <c r="AJ7" i="7"/>
  <c r="AK7" i="7"/>
  <c r="AL7" i="7"/>
  <c r="B8" i="7"/>
  <c r="C8" i="7"/>
  <c r="E8" i="7"/>
  <c r="F8" i="7"/>
  <c r="G8" i="7"/>
  <c r="H8" i="7"/>
  <c r="J8" i="7"/>
  <c r="K8" i="7"/>
  <c r="L8" i="7"/>
  <c r="M8" i="7"/>
  <c r="O8" i="7"/>
  <c r="P8" i="7"/>
  <c r="Q8" i="7"/>
  <c r="R8" i="7"/>
  <c r="T8" i="7"/>
  <c r="U8" i="7"/>
  <c r="V8" i="7"/>
  <c r="W8" i="7"/>
  <c r="AD8" i="7"/>
  <c r="AE8" i="7"/>
  <c r="AF8" i="7"/>
  <c r="AG8" i="7"/>
  <c r="AI8" i="7"/>
  <c r="AX8" i="7" s="1"/>
  <c r="AJ8" i="7"/>
  <c r="AK8" i="7"/>
  <c r="AL8" i="7"/>
  <c r="B9" i="7"/>
  <c r="C9" i="7"/>
  <c r="E9" i="7"/>
  <c r="F9" i="7"/>
  <c r="G9" i="7"/>
  <c r="H9" i="7"/>
  <c r="J9" i="7"/>
  <c r="K9" i="7"/>
  <c r="L9" i="7"/>
  <c r="M9" i="7"/>
  <c r="O9" i="7"/>
  <c r="P9" i="7"/>
  <c r="Q9" i="7"/>
  <c r="R9" i="7"/>
  <c r="T9" i="7"/>
  <c r="U9" i="7"/>
  <c r="V9" i="7"/>
  <c r="W9" i="7"/>
  <c r="AD9" i="7"/>
  <c r="AE9" i="7"/>
  <c r="AF9" i="7"/>
  <c r="AG9" i="7"/>
  <c r="AI9" i="7"/>
  <c r="AJ9" i="7"/>
  <c r="AK9" i="7"/>
  <c r="AL9" i="7"/>
  <c r="B10" i="7"/>
  <c r="C10" i="7"/>
  <c r="E10" i="7"/>
  <c r="F10" i="7"/>
  <c r="G10" i="7"/>
  <c r="H10" i="7"/>
  <c r="J10" i="7"/>
  <c r="K10" i="7"/>
  <c r="L10" i="7"/>
  <c r="M10" i="7"/>
  <c r="O10" i="7"/>
  <c r="P10" i="7"/>
  <c r="Q10" i="7"/>
  <c r="R10" i="7"/>
  <c r="T10" i="7"/>
  <c r="U10" i="7"/>
  <c r="V10" i="7"/>
  <c r="W10" i="7"/>
  <c r="AD10" i="7"/>
  <c r="AS10" i="7" s="1"/>
  <c r="AE10" i="7"/>
  <c r="AF10" i="7"/>
  <c r="AG10" i="7"/>
  <c r="AI10" i="7"/>
  <c r="AX10" i="7" s="1"/>
  <c r="AJ10" i="7"/>
  <c r="AK10" i="7"/>
  <c r="AL10" i="7"/>
  <c r="B11" i="7"/>
  <c r="C11" i="7"/>
  <c r="E11" i="7"/>
  <c r="F11" i="7"/>
  <c r="G11" i="7"/>
  <c r="H11" i="7"/>
  <c r="J11" i="7"/>
  <c r="K11" i="7"/>
  <c r="L11" i="7"/>
  <c r="M11" i="7"/>
  <c r="O11" i="7"/>
  <c r="P11" i="7"/>
  <c r="Q11" i="7"/>
  <c r="R11" i="7"/>
  <c r="T11" i="7"/>
  <c r="U11" i="7"/>
  <c r="V11" i="7"/>
  <c r="W11" i="7"/>
  <c r="AD11" i="7"/>
  <c r="AS11" i="7" s="1"/>
  <c r="AE11" i="7"/>
  <c r="AF11" i="7"/>
  <c r="AG11" i="7"/>
  <c r="AI11" i="7"/>
  <c r="AJ11" i="7"/>
  <c r="AK11" i="7"/>
  <c r="AL11" i="7"/>
  <c r="B12" i="7"/>
  <c r="C12" i="7"/>
  <c r="E12" i="7"/>
  <c r="F12" i="7"/>
  <c r="G12" i="7"/>
  <c r="H12" i="7"/>
  <c r="J12" i="7"/>
  <c r="K12" i="7"/>
  <c r="L12" i="7"/>
  <c r="M12" i="7"/>
  <c r="O12" i="7"/>
  <c r="P12" i="7"/>
  <c r="Q12" i="7"/>
  <c r="R12" i="7"/>
  <c r="T12" i="7"/>
  <c r="U12" i="7"/>
  <c r="V12" i="7"/>
  <c r="W12" i="7"/>
  <c r="AD12" i="7"/>
  <c r="AS12" i="7" s="1"/>
  <c r="AE12" i="7"/>
  <c r="AF12" i="7"/>
  <c r="AG12" i="7"/>
  <c r="AI12" i="7"/>
  <c r="AJ12" i="7"/>
  <c r="AK12" i="7"/>
  <c r="AL12" i="7"/>
  <c r="B13" i="7"/>
  <c r="C13" i="7"/>
  <c r="E13" i="7"/>
  <c r="F13" i="7"/>
  <c r="G13" i="7"/>
  <c r="H13" i="7"/>
  <c r="J13" i="7"/>
  <c r="K13" i="7"/>
  <c r="L13" i="7"/>
  <c r="M13" i="7"/>
  <c r="O13" i="7"/>
  <c r="P13" i="7"/>
  <c r="Q13" i="7"/>
  <c r="R13" i="7"/>
  <c r="T13" i="7"/>
  <c r="U13" i="7"/>
  <c r="V13" i="7"/>
  <c r="W13" i="7"/>
  <c r="AD13" i="7"/>
  <c r="AS13" i="7" s="1"/>
  <c r="AE13" i="7"/>
  <c r="AF13" i="7"/>
  <c r="AG13" i="7"/>
  <c r="AI13" i="7"/>
  <c r="AX13" i="7" s="1"/>
  <c r="AJ13" i="7"/>
  <c r="AK13" i="7"/>
  <c r="AL13" i="7"/>
  <c r="B14" i="7"/>
  <c r="C14" i="7"/>
  <c r="E14" i="7"/>
  <c r="F14" i="7"/>
  <c r="G14" i="7"/>
  <c r="H14" i="7"/>
  <c r="J14" i="7"/>
  <c r="K14" i="7"/>
  <c r="L14" i="7"/>
  <c r="M14" i="7"/>
  <c r="O14" i="7"/>
  <c r="P14" i="7"/>
  <c r="Q14" i="7"/>
  <c r="R14" i="7"/>
  <c r="T14" i="7"/>
  <c r="U14" i="7"/>
  <c r="V14" i="7"/>
  <c r="W14" i="7"/>
  <c r="AD14" i="7"/>
  <c r="AS14" i="7" s="1"/>
  <c r="AE14" i="7"/>
  <c r="AF14" i="7"/>
  <c r="AG14" i="7"/>
  <c r="AI14" i="7"/>
  <c r="AX14" i="7" s="1"/>
  <c r="AJ14" i="7"/>
  <c r="AK14" i="7"/>
  <c r="AL14" i="7"/>
  <c r="B15" i="7"/>
  <c r="C15" i="7"/>
  <c r="E15" i="7"/>
  <c r="F15" i="7"/>
  <c r="G15" i="7"/>
  <c r="H15" i="7"/>
  <c r="J15" i="7"/>
  <c r="K15" i="7"/>
  <c r="L15" i="7"/>
  <c r="M15" i="7"/>
  <c r="O15" i="7"/>
  <c r="P15" i="7"/>
  <c r="Q15" i="7"/>
  <c r="R15" i="7"/>
  <c r="T15" i="7"/>
  <c r="U15" i="7"/>
  <c r="V15" i="7"/>
  <c r="W15" i="7"/>
  <c r="AD15" i="7"/>
  <c r="AE15" i="7"/>
  <c r="AF15" i="7"/>
  <c r="AG15" i="7"/>
  <c r="AI15" i="7"/>
  <c r="AX15" i="7" s="1"/>
  <c r="AJ15" i="7"/>
  <c r="AK15" i="7"/>
  <c r="AL15" i="7"/>
  <c r="B16" i="7"/>
  <c r="C16" i="7"/>
  <c r="E16" i="7"/>
  <c r="F16" i="7"/>
  <c r="G16" i="7"/>
  <c r="H16" i="7"/>
  <c r="J16" i="7"/>
  <c r="K16" i="7"/>
  <c r="L16" i="7"/>
  <c r="M16" i="7"/>
  <c r="O16" i="7"/>
  <c r="P16" i="7"/>
  <c r="Q16" i="7"/>
  <c r="R16" i="7"/>
  <c r="T16" i="7"/>
  <c r="U16" i="7"/>
  <c r="V16" i="7"/>
  <c r="W16" i="7"/>
  <c r="AD16" i="7"/>
  <c r="AS16" i="7" s="1"/>
  <c r="AE16" i="7"/>
  <c r="AF16" i="7"/>
  <c r="AG16" i="7"/>
  <c r="AI16" i="7"/>
  <c r="AX16" i="7" s="1"/>
  <c r="AJ16" i="7"/>
  <c r="AK16" i="7"/>
  <c r="AL16" i="7"/>
  <c r="B17" i="7"/>
  <c r="C17" i="7"/>
  <c r="E17" i="7"/>
  <c r="F17" i="7"/>
  <c r="G17" i="7"/>
  <c r="H17" i="7"/>
  <c r="J17" i="7"/>
  <c r="K17" i="7"/>
  <c r="L17" i="7"/>
  <c r="M17" i="7"/>
  <c r="O17" i="7"/>
  <c r="P17" i="7"/>
  <c r="Q17" i="7"/>
  <c r="R17" i="7"/>
  <c r="T17" i="7"/>
  <c r="U17" i="7"/>
  <c r="V17" i="7"/>
  <c r="W17" i="7"/>
  <c r="AD17" i="7"/>
  <c r="AE17" i="7"/>
  <c r="AF17" i="7"/>
  <c r="AG17" i="7"/>
  <c r="AI17" i="7"/>
  <c r="AX17" i="7" s="1"/>
  <c r="AJ17" i="7"/>
  <c r="AK17" i="7"/>
  <c r="AL17" i="7"/>
  <c r="B18" i="7"/>
  <c r="C18" i="7"/>
  <c r="E18" i="7"/>
  <c r="F18" i="7"/>
  <c r="G18" i="7"/>
  <c r="H18" i="7"/>
  <c r="J18" i="7"/>
  <c r="K18" i="7"/>
  <c r="L18" i="7"/>
  <c r="M18" i="7"/>
  <c r="O18" i="7"/>
  <c r="P18" i="7"/>
  <c r="Q18" i="7"/>
  <c r="R18" i="7"/>
  <c r="T18" i="7"/>
  <c r="U18" i="7"/>
  <c r="V18" i="7"/>
  <c r="W18" i="7"/>
  <c r="AD18" i="7"/>
  <c r="AS18" i="7" s="1"/>
  <c r="AE18" i="7"/>
  <c r="AF18" i="7"/>
  <c r="AG18" i="7"/>
  <c r="AI18" i="7"/>
  <c r="AJ18" i="7"/>
  <c r="AK18" i="7"/>
  <c r="AL18" i="7"/>
  <c r="B19" i="7"/>
  <c r="C19" i="7"/>
  <c r="E19" i="7"/>
  <c r="F19" i="7"/>
  <c r="G19" i="7"/>
  <c r="H19" i="7"/>
  <c r="J19" i="7"/>
  <c r="K19" i="7"/>
  <c r="L19" i="7"/>
  <c r="M19" i="7"/>
  <c r="O19" i="7"/>
  <c r="P19" i="7"/>
  <c r="Q19" i="7"/>
  <c r="R19" i="7"/>
  <c r="T19" i="7"/>
  <c r="U19" i="7"/>
  <c r="V19" i="7"/>
  <c r="W19" i="7"/>
  <c r="AD19" i="7"/>
  <c r="AS19" i="7" s="1"/>
  <c r="AE19" i="7"/>
  <c r="AF19" i="7"/>
  <c r="AG19" i="7"/>
  <c r="AI19" i="7"/>
  <c r="AX19" i="7" s="1"/>
  <c r="AJ19" i="7"/>
  <c r="AK19" i="7"/>
  <c r="AL19" i="7"/>
  <c r="B20" i="7"/>
  <c r="C20" i="7"/>
  <c r="E20" i="7"/>
  <c r="F20" i="7"/>
  <c r="G20" i="7"/>
  <c r="H20" i="7"/>
  <c r="J20" i="7"/>
  <c r="K20" i="7"/>
  <c r="L20" i="7"/>
  <c r="M20" i="7"/>
  <c r="O20" i="7"/>
  <c r="P20" i="7"/>
  <c r="Q20" i="7"/>
  <c r="R20" i="7"/>
  <c r="T20" i="7"/>
  <c r="U20" i="7"/>
  <c r="V20" i="7"/>
  <c r="W20" i="7"/>
  <c r="AD20" i="7"/>
  <c r="AE20" i="7"/>
  <c r="AF20" i="7"/>
  <c r="AG20" i="7"/>
  <c r="AI20" i="7"/>
  <c r="AX20" i="7" s="1"/>
  <c r="AJ20" i="7"/>
  <c r="AK20" i="7"/>
  <c r="AL20" i="7"/>
  <c r="B21" i="7"/>
  <c r="C21" i="7"/>
  <c r="E21" i="7"/>
  <c r="F21" i="7"/>
  <c r="G21" i="7"/>
  <c r="H21" i="7"/>
  <c r="J21" i="7"/>
  <c r="K21" i="7"/>
  <c r="L21" i="7"/>
  <c r="M21" i="7"/>
  <c r="O21" i="7"/>
  <c r="P21" i="7"/>
  <c r="Q21" i="7"/>
  <c r="R21" i="7"/>
  <c r="T21" i="7"/>
  <c r="U21" i="7"/>
  <c r="V21" i="7"/>
  <c r="W21" i="7"/>
  <c r="AD21" i="7"/>
  <c r="AE21" i="7"/>
  <c r="AF21" i="7"/>
  <c r="AG21" i="7"/>
  <c r="AI21" i="7"/>
  <c r="AX21" i="7" s="1"/>
  <c r="AJ21" i="7"/>
  <c r="AK21" i="7"/>
  <c r="AL21" i="7"/>
  <c r="B22" i="7"/>
  <c r="C22" i="7"/>
  <c r="E22" i="7"/>
  <c r="F22" i="7"/>
  <c r="G22" i="7"/>
  <c r="H22" i="7"/>
  <c r="J22" i="7"/>
  <c r="K22" i="7"/>
  <c r="L22" i="7"/>
  <c r="M22" i="7"/>
  <c r="O22" i="7"/>
  <c r="P22" i="7"/>
  <c r="Q22" i="7"/>
  <c r="R22" i="7"/>
  <c r="T22" i="7"/>
  <c r="U22" i="7"/>
  <c r="V22" i="7"/>
  <c r="W22" i="7"/>
  <c r="AD22" i="7"/>
  <c r="AS22" i="7" s="1"/>
  <c r="AE22" i="7"/>
  <c r="AF22" i="7"/>
  <c r="AG22" i="7"/>
  <c r="AI22" i="7"/>
  <c r="AX22" i="7" s="1"/>
  <c r="AJ22" i="7"/>
  <c r="AK22" i="7"/>
  <c r="AL22" i="7"/>
  <c r="B23" i="7"/>
  <c r="C23" i="7"/>
  <c r="E23" i="7"/>
  <c r="F23" i="7"/>
  <c r="G23" i="7"/>
  <c r="H23" i="7"/>
  <c r="J23" i="7"/>
  <c r="K23" i="7"/>
  <c r="L23" i="7"/>
  <c r="M23" i="7"/>
  <c r="O23" i="7"/>
  <c r="P23" i="7"/>
  <c r="Q23" i="7"/>
  <c r="R23" i="7"/>
  <c r="T23" i="7"/>
  <c r="U23" i="7"/>
  <c r="V23" i="7"/>
  <c r="W23" i="7"/>
  <c r="AD23" i="7"/>
  <c r="AS23" i="7" s="1"/>
  <c r="AE23" i="7"/>
  <c r="AF23" i="7"/>
  <c r="AG23" i="7"/>
  <c r="AI23" i="7"/>
  <c r="AJ23" i="7"/>
  <c r="AK23" i="7"/>
  <c r="AL23" i="7"/>
  <c r="B24" i="7"/>
  <c r="C24" i="7"/>
  <c r="E24" i="7"/>
  <c r="F24" i="7"/>
  <c r="G24" i="7"/>
  <c r="H24" i="7"/>
  <c r="J24" i="7"/>
  <c r="K24" i="7"/>
  <c r="L24" i="7"/>
  <c r="M24" i="7"/>
  <c r="O24" i="7"/>
  <c r="P24" i="7"/>
  <c r="Q24" i="7"/>
  <c r="R24" i="7"/>
  <c r="T24" i="7"/>
  <c r="U24" i="7"/>
  <c r="V24" i="7"/>
  <c r="W24" i="7"/>
  <c r="AD24" i="7"/>
  <c r="AS24" i="7" s="1"/>
  <c r="AE24" i="7"/>
  <c r="AF24" i="7"/>
  <c r="AG24" i="7"/>
  <c r="AI24" i="7"/>
  <c r="AJ24" i="7"/>
  <c r="AK24" i="7"/>
  <c r="AL24" i="7"/>
  <c r="B25" i="7"/>
  <c r="C25" i="7"/>
  <c r="E25" i="7"/>
  <c r="F25" i="7"/>
  <c r="G25" i="7"/>
  <c r="H25" i="7"/>
  <c r="J25" i="7"/>
  <c r="K25" i="7"/>
  <c r="L25" i="7"/>
  <c r="M25" i="7"/>
  <c r="O25" i="7"/>
  <c r="P25" i="7"/>
  <c r="Q25" i="7"/>
  <c r="R25" i="7"/>
  <c r="T25" i="7"/>
  <c r="U25" i="7"/>
  <c r="V25" i="7"/>
  <c r="W25" i="7"/>
  <c r="AD25" i="7"/>
  <c r="AS25" i="7" s="1"/>
  <c r="AE25" i="7"/>
  <c r="AF25" i="7"/>
  <c r="AG25" i="7"/>
  <c r="AI25" i="7"/>
  <c r="AX25" i="7" s="1"/>
  <c r="AJ25" i="7"/>
  <c r="AK25" i="7"/>
  <c r="AL25" i="7"/>
  <c r="B26" i="7"/>
  <c r="C26" i="7"/>
  <c r="E26" i="7"/>
  <c r="F26" i="7"/>
  <c r="G26" i="7"/>
  <c r="H26" i="7"/>
  <c r="J26" i="7"/>
  <c r="K26" i="7"/>
  <c r="L26" i="7"/>
  <c r="M26" i="7"/>
  <c r="O26" i="7"/>
  <c r="P26" i="7"/>
  <c r="Q26" i="7"/>
  <c r="R26" i="7"/>
  <c r="T26" i="7"/>
  <c r="U26" i="7"/>
  <c r="V26" i="7"/>
  <c r="W26" i="7"/>
  <c r="AD26" i="7"/>
  <c r="AE26" i="7"/>
  <c r="AF26" i="7"/>
  <c r="AG26" i="7"/>
  <c r="AI26" i="7"/>
  <c r="AJ26" i="7"/>
  <c r="AK26" i="7"/>
  <c r="AL26" i="7"/>
  <c r="B27" i="7"/>
  <c r="C27" i="7"/>
  <c r="E27" i="7"/>
  <c r="F27" i="7"/>
  <c r="G27" i="7"/>
  <c r="H27" i="7"/>
  <c r="J27" i="7"/>
  <c r="K27" i="7"/>
  <c r="L27" i="7"/>
  <c r="M27" i="7"/>
  <c r="O27" i="7"/>
  <c r="P27" i="7"/>
  <c r="Q27" i="7"/>
  <c r="R27" i="7"/>
  <c r="T27" i="7"/>
  <c r="U27" i="7"/>
  <c r="V27" i="7"/>
  <c r="W27" i="7"/>
  <c r="AD27" i="7"/>
  <c r="AS27" i="7" s="1"/>
  <c r="AE27" i="7"/>
  <c r="AF27" i="7"/>
  <c r="AG27" i="7"/>
  <c r="AI27" i="7"/>
  <c r="AJ27" i="7"/>
  <c r="AK27" i="7"/>
  <c r="AL27" i="7"/>
  <c r="B28" i="7"/>
  <c r="C28" i="7"/>
  <c r="E28" i="7"/>
  <c r="F28" i="7"/>
  <c r="G28" i="7"/>
  <c r="H28" i="7"/>
  <c r="J28" i="7"/>
  <c r="K28" i="7"/>
  <c r="L28" i="7"/>
  <c r="M28" i="7"/>
  <c r="O28" i="7"/>
  <c r="P28" i="7"/>
  <c r="Q28" i="7"/>
  <c r="R28" i="7"/>
  <c r="T28" i="7"/>
  <c r="U28" i="7"/>
  <c r="V28" i="7"/>
  <c r="W28" i="7"/>
  <c r="AD28" i="7"/>
  <c r="AS28" i="7" s="1"/>
  <c r="AE28" i="7"/>
  <c r="AF28" i="7"/>
  <c r="AG28" i="7"/>
  <c r="AI28" i="7"/>
  <c r="AJ28" i="7"/>
  <c r="AK28" i="7"/>
  <c r="AL28" i="7"/>
  <c r="B29" i="7"/>
  <c r="C29" i="7"/>
  <c r="E29" i="7"/>
  <c r="F29" i="7"/>
  <c r="G29" i="7"/>
  <c r="H29" i="7"/>
  <c r="J29" i="7"/>
  <c r="K29" i="7"/>
  <c r="L29" i="7"/>
  <c r="M29" i="7"/>
  <c r="O29" i="7"/>
  <c r="P29" i="7"/>
  <c r="Q29" i="7"/>
  <c r="R29" i="7"/>
  <c r="T29" i="7"/>
  <c r="U29" i="7"/>
  <c r="V29" i="7"/>
  <c r="W29" i="7"/>
  <c r="AD29" i="7"/>
  <c r="AE29" i="7"/>
  <c r="AF29" i="7"/>
  <c r="AG29" i="7"/>
  <c r="AI29" i="7"/>
  <c r="AX29" i="7" s="1"/>
  <c r="AJ29" i="7"/>
  <c r="AK29" i="7"/>
  <c r="AL29" i="7"/>
  <c r="B30" i="7"/>
  <c r="C30" i="7"/>
  <c r="E30" i="7"/>
  <c r="F30" i="7"/>
  <c r="G30" i="7"/>
  <c r="H30" i="7"/>
  <c r="J30" i="7"/>
  <c r="K30" i="7"/>
  <c r="L30" i="7"/>
  <c r="M30" i="7"/>
  <c r="O30" i="7"/>
  <c r="P30" i="7"/>
  <c r="Q30" i="7"/>
  <c r="R30" i="7"/>
  <c r="T30" i="7"/>
  <c r="U30" i="7"/>
  <c r="V30" i="7"/>
  <c r="W30" i="7"/>
  <c r="AD30" i="7"/>
  <c r="AS30" i="7" s="1"/>
  <c r="AE30" i="7"/>
  <c r="AT30" i="7" s="1"/>
  <c r="AF30" i="7"/>
  <c r="AG30" i="7"/>
  <c r="AI30" i="7"/>
  <c r="AJ30" i="7"/>
  <c r="AK30" i="7"/>
  <c r="AL30" i="7"/>
  <c r="B31" i="7"/>
  <c r="C31" i="7"/>
  <c r="E31" i="7"/>
  <c r="F31" i="7"/>
  <c r="G31" i="7"/>
  <c r="H31" i="7"/>
  <c r="J31" i="7"/>
  <c r="K31" i="7"/>
  <c r="L31" i="7"/>
  <c r="M31" i="7"/>
  <c r="O31" i="7"/>
  <c r="P31" i="7"/>
  <c r="Q31" i="7"/>
  <c r="R31" i="7"/>
  <c r="T31" i="7"/>
  <c r="U31" i="7"/>
  <c r="V31" i="7"/>
  <c r="W31" i="7"/>
  <c r="AD31" i="7"/>
  <c r="AE31" i="7"/>
  <c r="AF31" i="7"/>
  <c r="AG31" i="7"/>
  <c r="AI31" i="7"/>
  <c r="AJ31" i="7"/>
  <c r="AK31" i="7"/>
  <c r="AL31" i="7"/>
  <c r="B32" i="7"/>
  <c r="C32" i="7"/>
  <c r="E32" i="7"/>
  <c r="F32" i="7"/>
  <c r="G32" i="7"/>
  <c r="H32" i="7"/>
  <c r="J32" i="7"/>
  <c r="K32" i="7"/>
  <c r="L32" i="7"/>
  <c r="M32" i="7"/>
  <c r="O32" i="7"/>
  <c r="P32" i="7"/>
  <c r="Q32" i="7"/>
  <c r="R32" i="7"/>
  <c r="T32" i="7"/>
  <c r="U32" i="7"/>
  <c r="V32" i="7"/>
  <c r="W32" i="7"/>
  <c r="AD32" i="7"/>
  <c r="AS32" i="7" s="1"/>
  <c r="AE32" i="7"/>
  <c r="AF32" i="7"/>
  <c r="AG32" i="7"/>
  <c r="AI32" i="7"/>
  <c r="AJ32" i="7"/>
  <c r="AK32" i="7"/>
  <c r="AL32" i="7"/>
  <c r="B33" i="7"/>
  <c r="C33" i="7"/>
  <c r="E33" i="7"/>
  <c r="F33" i="7"/>
  <c r="G33" i="7"/>
  <c r="H33" i="7"/>
  <c r="J33" i="7"/>
  <c r="K33" i="7"/>
  <c r="L33" i="7"/>
  <c r="M33" i="7"/>
  <c r="O33" i="7"/>
  <c r="P33" i="7"/>
  <c r="Q33" i="7"/>
  <c r="R33" i="7"/>
  <c r="T33" i="7"/>
  <c r="U33" i="7"/>
  <c r="V33" i="7"/>
  <c r="W33" i="7"/>
  <c r="AD33" i="7"/>
  <c r="AE33" i="7"/>
  <c r="AF33" i="7"/>
  <c r="AG33" i="7"/>
  <c r="AI33" i="7"/>
  <c r="AX33" i="7" s="1"/>
  <c r="AJ33" i="7"/>
  <c r="AK33" i="7"/>
  <c r="AL33" i="7"/>
  <c r="B34" i="7"/>
  <c r="C34" i="7"/>
  <c r="E34" i="7"/>
  <c r="F34" i="7"/>
  <c r="G34" i="7"/>
  <c r="H34" i="7"/>
  <c r="J34" i="7"/>
  <c r="K34" i="7"/>
  <c r="L34" i="7"/>
  <c r="M34" i="7"/>
  <c r="O34" i="7"/>
  <c r="P34" i="7"/>
  <c r="Q34" i="7"/>
  <c r="R34" i="7"/>
  <c r="T34" i="7"/>
  <c r="U34" i="7"/>
  <c r="V34" i="7"/>
  <c r="W34" i="7"/>
  <c r="AD34" i="7"/>
  <c r="AE34" i="7"/>
  <c r="AF34" i="7"/>
  <c r="AG34" i="7"/>
  <c r="AI34" i="7"/>
  <c r="AJ34" i="7"/>
  <c r="AK34" i="7"/>
  <c r="AL34" i="7"/>
  <c r="B35" i="7"/>
  <c r="C35" i="7"/>
  <c r="E35" i="7"/>
  <c r="F35" i="7"/>
  <c r="G35" i="7"/>
  <c r="H35" i="7"/>
  <c r="J35" i="7"/>
  <c r="K35" i="7"/>
  <c r="L35" i="7"/>
  <c r="M35" i="7"/>
  <c r="O35" i="7"/>
  <c r="P35" i="7"/>
  <c r="Q35" i="7"/>
  <c r="R35" i="7"/>
  <c r="T35" i="7"/>
  <c r="U35" i="7"/>
  <c r="V35" i="7"/>
  <c r="W35" i="7"/>
  <c r="AD35" i="7"/>
  <c r="AE35" i="7"/>
  <c r="AF35" i="7"/>
  <c r="AG35" i="7"/>
  <c r="AI35" i="7"/>
  <c r="AX35" i="7" s="1"/>
  <c r="AJ35" i="7"/>
  <c r="AK35" i="7"/>
  <c r="AL35" i="7"/>
  <c r="B36" i="7"/>
  <c r="C36" i="7"/>
  <c r="E36" i="7"/>
  <c r="F36" i="7"/>
  <c r="G36" i="7"/>
  <c r="H36" i="7"/>
  <c r="J36" i="7"/>
  <c r="K36" i="7"/>
  <c r="L36" i="7"/>
  <c r="M36" i="7"/>
  <c r="O36" i="7"/>
  <c r="P36" i="7"/>
  <c r="Q36" i="7"/>
  <c r="R36" i="7"/>
  <c r="T36" i="7"/>
  <c r="U36" i="7"/>
  <c r="V36" i="7"/>
  <c r="W36" i="7"/>
  <c r="AD36" i="7"/>
  <c r="AS36" i="7" s="1"/>
  <c r="AE36" i="7"/>
  <c r="AF36" i="7"/>
  <c r="AG36" i="7"/>
  <c r="AI36" i="7"/>
  <c r="AJ36" i="7"/>
  <c r="AK36" i="7"/>
  <c r="AL36" i="7"/>
  <c r="B37" i="7"/>
  <c r="C37" i="7"/>
  <c r="E37" i="7"/>
  <c r="F37" i="7"/>
  <c r="G37" i="7"/>
  <c r="H37" i="7"/>
  <c r="J37" i="7"/>
  <c r="K37" i="7"/>
  <c r="L37" i="7"/>
  <c r="M37" i="7"/>
  <c r="O37" i="7"/>
  <c r="P37" i="7"/>
  <c r="Q37" i="7"/>
  <c r="R37" i="7"/>
  <c r="T37" i="7"/>
  <c r="U37" i="7"/>
  <c r="V37" i="7"/>
  <c r="W37" i="7"/>
  <c r="AD37" i="7"/>
  <c r="AS37" i="7" s="1"/>
  <c r="AE37" i="7"/>
  <c r="AF37" i="7"/>
  <c r="AG37" i="7"/>
  <c r="AI37" i="7"/>
  <c r="AX37" i="7" s="1"/>
  <c r="AJ37" i="7"/>
  <c r="AK37" i="7"/>
  <c r="AL37" i="7"/>
  <c r="B38" i="7"/>
  <c r="C38" i="7"/>
  <c r="E38" i="7"/>
  <c r="F38" i="7"/>
  <c r="G38" i="7"/>
  <c r="H38" i="7"/>
  <c r="J38" i="7"/>
  <c r="K38" i="7"/>
  <c r="L38" i="7"/>
  <c r="M38" i="7"/>
  <c r="O38" i="7"/>
  <c r="P38" i="7"/>
  <c r="Q38" i="7"/>
  <c r="R38" i="7"/>
  <c r="T38" i="7"/>
  <c r="U38" i="7"/>
  <c r="V38" i="7"/>
  <c r="W38" i="7"/>
  <c r="AD38" i="7"/>
  <c r="AS38" i="7" s="1"/>
  <c r="AE38" i="7"/>
  <c r="AF38" i="7"/>
  <c r="AG38" i="7"/>
  <c r="AI38" i="7"/>
  <c r="AX38" i="7" s="1"/>
  <c r="AJ38" i="7"/>
  <c r="AK38" i="7"/>
  <c r="AL38" i="7"/>
  <c r="B39" i="7"/>
  <c r="C39" i="7"/>
  <c r="E39" i="7"/>
  <c r="F39" i="7"/>
  <c r="G39" i="7"/>
  <c r="H39" i="7"/>
  <c r="J39" i="7"/>
  <c r="K39" i="7"/>
  <c r="L39" i="7"/>
  <c r="M39" i="7"/>
  <c r="O39" i="7"/>
  <c r="P39" i="7"/>
  <c r="Q39" i="7"/>
  <c r="R39" i="7"/>
  <c r="T39" i="7"/>
  <c r="U39" i="7"/>
  <c r="V39" i="7"/>
  <c r="W39" i="7"/>
  <c r="AD39" i="7"/>
  <c r="AE39" i="7"/>
  <c r="AF39" i="7"/>
  <c r="AG39" i="7"/>
  <c r="AI39" i="7"/>
  <c r="AX39" i="7" s="1"/>
  <c r="AJ39" i="7"/>
  <c r="AK39" i="7"/>
  <c r="AL39" i="7"/>
  <c r="B40" i="7"/>
  <c r="C40" i="7"/>
  <c r="E40" i="7"/>
  <c r="F40" i="7"/>
  <c r="G40" i="7"/>
  <c r="H40" i="7"/>
  <c r="J40" i="7"/>
  <c r="K40" i="7"/>
  <c r="L40" i="7"/>
  <c r="M40" i="7"/>
  <c r="O40" i="7"/>
  <c r="P40" i="7"/>
  <c r="Q40" i="7"/>
  <c r="R40" i="7"/>
  <c r="T40" i="7"/>
  <c r="U40" i="7"/>
  <c r="V40" i="7"/>
  <c r="W40" i="7"/>
  <c r="AD40" i="7"/>
  <c r="AS40" i="7" s="1"/>
  <c r="AE40" i="7"/>
  <c r="AF40" i="7"/>
  <c r="AG40" i="7"/>
  <c r="AI40" i="7"/>
  <c r="AJ40" i="7"/>
  <c r="AK40" i="7"/>
  <c r="AL40" i="7"/>
  <c r="B41" i="7"/>
  <c r="C41" i="7"/>
  <c r="E41" i="7"/>
  <c r="F41" i="7"/>
  <c r="G41" i="7"/>
  <c r="H41" i="7"/>
  <c r="J41" i="7"/>
  <c r="K41" i="7"/>
  <c r="L41" i="7"/>
  <c r="M41" i="7"/>
  <c r="O41" i="7"/>
  <c r="P41" i="7"/>
  <c r="Q41" i="7"/>
  <c r="R41" i="7"/>
  <c r="T41" i="7"/>
  <c r="U41" i="7"/>
  <c r="V41" i="7"/>
  <c r="W41" i="7"/>
  <c r="AD41" i="7"/>
  <c r="AS41" i="7" s="1"/>
  <c r="AE41" i="7"/>
  <c r="AF41" i="7"/>
  <c r="AG41" i="7"/>
  <c r="AI41" i="7"/>
  <c r="AJ41" i="7"/>
  <c r="AK41" i="7"/>
  <c r="AL41" i="7"/>
  <c r="B42" i="7"/>
  <c r="C42" i="7"/>
  <c r="E42" i="7"/>
  <c r="F42" i="7"/>
  <c r="G42" i="7"/>
  <c r="H42" i="7"/>
  <c r="J42" i="7"/>
  <c r="K42" i="7"/>
  <c r="L42" i="7"/>
  <c r="M42" i="7"/>
  <c r="O42" i="7"/>
  <c r="P42" i="7"/>
  <c r="Q42" i="7"/>
  <c r="R42" i="7"/>
  <c r="T42" i="7"/>
  <c r="U42" i="7"/>
  <c r="V42" i="7"/>
  <c r="W42" i="7"/>
  <c r="AD42" i="7"/>
  <c r="AS42" i="7" s="1"/>
  <c r="AE42" i="7"/>
  <c r="AF42" i="7"/>
  <c r="AG42" i="7"/>
  <c r="AI42" i="7"/>
  <c r="AX42" i="7" s="1"/>
  <c r="AJ42" i="7"/>
  <c r="AK42" i="7"/>
  <c r="AL42" i="7"/>
  <c r="B43" i="7"/>
  <c r="C43" i="7"/>
  <c r="E43" i="7"/>
  <c r="F43" i="7"/>
  <c r="G43" i="7"/>
  <c r="H43" i="7"/>
  <c r="J43" i="7"/>
  <c r="K43" i="7"/>
  <c r="L43" i="7"/>
  <c r="M43" i="7"/>
  <c r="O43" i="7"/>
  <c r="P43" i="7"/>
  <c r="Q43" i="7"/>
  <c r="R43" i="7"/>
  <c r="T43" i="7"/>
  <c r="U43" i="7"/>
  <c r="V43" i="7"/>
  <c r="W43" i="7"/>
  <c r="AD43" i="7"/>
  <c r="AE43" i="7"/>
  <c r="AF43" i="7"/>
  <c r="AG43" i="7"/>
  <c r="AI43" i="7"/>
  <c r="AJ43" i="7"/>
  <c r="AK43" i="7"/>
  <c r="AL43" i="7"/>
  <c r="B44" i="7"/>
  <c r="C44" i="7"/>
  <c r="E44" i="7"/>
  <c r="F44" i="7"/>
  <c r="G44" i="7"/>
  <c r="H44" i="7"/>
  <c r="J44" i="7"/>
  <c r="K44" i="7"/>
  <c r="L44" i="7"/>
  <c r="M44" i="7"/>
  <c r="O44" i="7"/>
  <c r="P44" i="7"/>
  <c r="Q44" i="7"/>
  <c r="R44" i="7"/>
  <c r="T44" i="7"/>
  <c r="U44" i="7"/>
  <c r="V44" i="7"/>
  <c r="W44" i="7"/>
  <c r="AD44" i="7"/>
  <c r="AE44" i="7"/>
  <c r="AF44" i="7"/>
  <c r="AG44" i="7"/>
  <c r="AI44" i="7"/>
  <c r="AX44" i="7" s="1"/>
  <c r="AJ44" i="7"/>
  <c r="AK44" i="7"/>
  <c r="AL44" i="7"/>
  <c r="B45" i="7"/>
  <c r="C45" i="7"/>
  <c r="E45" i="7"/>
  <c r="F45" i="7"/>
  <c r="G45" i="7"/>
  <c r="H45" i="7"/>
  <c r="J45" i="7"/>
  <c r="K45" i="7"/>
  <c r="L45" i="7"/>
  <c r="M45" i="7"/>
  <c r="O45" i="7"/>
  <c r="P45" i="7"/>
  <c r="Q45" i="7"/>
  <c r="R45" i="7"/>
  <c r="T45" i="7"/>
  <c r="U45" i="7"/>
  <c r="V45" i="7"/>
  <c r="W45" i="7"/>
  <c r="AD45" i="7"/>
  <c r="AS45" i="7" s="1"/>
  <c r="AE45" i="7"/>
  <c r="AF45" i="7"/>
  <c r="AG45" i="7"/>
  <c r="AI45" i="7"/>
  <c r="AX45" i="7" s="1"/>
  <c r="AJ45" i="7"/>
  <c r="AK45" i="7"/>
  <c r="AL45" i="7"/>
  <c r="B46" i="7"/>
  <c r="C46" i="7"/>
  <c r="E46" i="7"/>
  <c r="F46" i="7"/>
  <c r="G46" i="7"/>
  <c r="H46" i="7"/>
  <c r="J46" i="7"/>
  <c r="K46" i="7"/>
  <c r="L46" i="7"/>
  <c r="M46" i="7"/>
  <c r="O46" i="7"/>
  <c r="P46" i="7"/>
  <c r="Q46" i="7"/>
  <c r="R46" i="7"/>
  <c r="T46" i="7"/>
  <c r="U46" i="7"/>
  <c r="V46" i="7"/>
  <c r="W46" i="7"/>
  <c r="AD46" i="7"/>
  <c r="AS46" i="7" s="1"/>
  <c r="AE46" i="7"/>
  <c r="AF46" i="7"/>
  <c r="AG46" i="7"/>
  <c r="AI46" i="7"/>
  <c r="AJ46" i="7"/>
  <c r="AK46" i="7"/>
  <c r="AL46" i="7"/>
  <c r="B47" i="7"/>
  <c r="C47" i="7"/>
  <c r="E47" i="7"/>
  <c r="F47" i="7"/>
  <c r="G47" i="7"/>
  <c r="H47" i="7"/>
  <c r="J47" i="7"/>
  <c r="K47" i="7"/>
  <c r="L47" i="7"/>
  <c r="M47" i="7"/>
  <c r="O47" i="7"/>
  <c r="P47" i="7"/>
  <c r="Q47" i="7"/>
  <c r="R47" i="7"/>
  <c r="T47" i="7"/>
  <c r="U47" i="7"/>
  <c r="V47" i="7"/>
  <c r="W47" i="7"/>
  <c r="AD47" i="7"/>
  <c r="AE47" i="7"/>
  <c r="AF47" i="7"/>
  <c r="AG47" i="7"/>
  <c r="AI47" i="7"/>
  <c r="AX47" i="7" s="1"/>
  <c r="AJ47" i="7"/>
  <c r="AK47" i="7"/>
  <c r="AL47" i="7"/>
  <c r="B48" i="7"/>
  <c r="C48" i="7"/>
  <c r="E48" i="7"/>
  <c r="F48" i="7"/>
  <c r="G48" i="7"/>
  <c r="H48" i="7"/>
  <c r="J48" i="7"/>
  <c r="K48" i="7"/>
  <c r="L48" i="7"/>
  <c r="M48" i="7"/>
  <c r="O48" i="7"/>
  <c r="P48" i="7"/>
  <c r="Q48" i="7"/>
  <c r="R48" i="7"/>
  <c r="T48" i="7"/>
  <c r="U48" i="7"/>
  <c r="V48" i="7"/>
  <c r="W48" i="7"/>
  <c r="AD48" i="7"/>
  <c r="AS48" i="7" s="1"/>
  <c r="AE48" i="7"/>
  <c r="AF48" i="7"/>
  <c r="AG48" i="7"/>
  <c r="AI48" i="7"/>
  <c r="AJ48" i="7"/>
  <c r="AK48" i="7"/>
  <c r="AL48" i="7"/>
  <c r="B49" i="7"/>
  <c r="C49" i="7"/>
  <c r="E49" i="7"/>
  <c r="F49" i="7"/>
  <c r="G49" i="7"/>
  <c r="H49" i="7"/>
  <c r="J49" i="7"/>
  <c r="K49" i="7"/>
  <c r="L49" i="7"/>
  <c r="M49" i="7"/>
  <c r="O49" i="7"/>
  <c r="P49" i="7"/>
  <c r="Q49" i="7"/>
  <c r="R49" i="7"/>
  <c r="T49" i="7"/>
  <c r="U49" i="7"/>
  <c r="V49" i="7"/>
  <c r="W49" i="7"/>
  <c r="AD49" i="7"/>
  <c r="AE49" i="7"/>
  <c r="AF49" i="7"/>
  <c r="AG49" i="7"/>
  <c r="AI49" i="7"/>
  <c r="AJ49" i="7"/>
  <c r="AK49" i="7"/>
  <c r="AL49" i="7"/>
  <c r="B50" i="7"/>
  <c r="C50" i="7"/>
  <c r="E50" i="7"/>
  <c r="F50" i="7"/>
  <c r="G50" i="7"/>
  <c r="H50" i="7"/>
  <c r="J50" i="7"/>
  <c r="K50" i="7"/>
  <c r="L50" i="7"/>
  <c r="M50" i="7"/>
  <c r="O50" i="7"/>
  <c r="P50" i="7"/>
  <c r="Q50" i="7"/>
  <c r="R50" i="7"/>
  <c r="T50" i="7"/>
  <c r="U50" i="7"/>
  <c r="V50" i="7"/>
  <c r="W50" i="7"/>
  <c r="AD50" i="7"/>
  <c r="AE50" i="7"/>
  <c r="AF50" i="7"/>
  <c r="AG50" i="7"/>
  <c r="AI50" i="7"/>
  <c r="AX50" i="7" s="1"/>
  <c r="AJ50" i="7"/>
  <c r="AK50" i="7"/>
  <c r="AL50" i="7"/>
  <c r="B51" i="7"/>
  <c r="C51" i="7"/>
  <c r="E51" i="7"/>
  <c r="F51" i="7"/>
  <c r="G51" i="7"/>
  <c r="H51" i="7"/>
  <c r="J51" i="7"/>
  <c r="K51" i="7"/>
  <c r="L51" i="7"/>
  <c r="M51" i="7"/>
  <c r="O51" i="7"/>
  <c r="P51" i="7"/>
  <c r="Q51" i="7"/>
  <c r="R51" i="7"/>
  <c r="T51" i="7"/>
  <c r="U51" i="7"/>
  <c r="V51" i="7"/>
  <c r="W51" i="7"/>
  <c r="AD51" i="7"/>
  <c r="AS51" i="7" s="1"/>
  <c r="AE51" i="7"/>
  <c r="AF51" i="7"/>
  <c r="AG51" i="7"/>
  <c r="AI51" i="7"/>
  <c r="AJ51" i="7"/>
  <c r="AK51" i="7"/>
  <c r="AL51" i="7"/>
  <c r="B52" i="7"/>
  <c r="C52" i="7"/>
  <c r="E52" i="7"/>
  <c r="F52" i="7"/>
  <c r="G52" i="7"/>
  <c r="H52" i="7"/>
  <c r="J52" i="7"/>
  <c r="K52" i="7"/>
  <c r="L52" i="7"/>
  <c r="M52" i="7"/>
  <c r="O52" i="7"/>
  <c r="P52" i="7"/>
  <c r="Q52" i="7"/>
  <c r="R52" i="7"/>
  <c r="T52" i="7"/>
  <c r="U52" i="7"/>
  <c r="V52" i="7"/>
  <c r="W52" i="7"/>
  <c r="AD52" i="7"/>
  <c r="AS52" i="7" s="1"/>
  <c r="AE52" i="7"/>
  <c r="AF52" i="7"/>
  <c r="AG52" i="7"/>
  <c r="AI52" i="7"/>
  <c r="AX52" i="7" s="1"/>
  <c r="AJ52" i="7"/>
  <c r="AK52" i="7"/>
  <c r="AL52" i="7"/>
  <c r="B53" i="7"/>
  <c r="C53" i="7"/>
  <c r="E53" i="7"/>
  <c r="F53" i="7"/>
  <c r="G53" i="7"/>
  <c r="H53" i="7"/>
  <c r="J53" i="7"/>
  <c r="K53" i="7"/>
  <c r="L53" i="7"/>
  <c r="M53" i="7"/>
  <c r="O53" i="7"/>
  <c r="P53" i="7"/>
  <c r="Q53" i="7"/>
  <c r="R53" i="7"/>
  <c r="T53" i="7"/>
  <c r="U53" i="7"/>
  <c r="V53" i="7"/>
  <c r="W53" i="7"/>
  <c r="AD53" i="7"/>
  <c r="AE53" i="7"/>
  <c r="AF53" i="7"/>
  <c r="AG53" i="7"/>
  <c r="AI53" i="7"/>
  <c r="AJ53" i="7"/>
  <c r="AK53" i="7"/>
  <c r="AL53" i="7"/>
  <c r="B54" i="7"/>
  <c r="C54" i="7"/>
  <c r="E54" i="7"/>
  <c r="F54" i="7"/>
  <c r="G54" i="7"/>
  <c r="H54" i="7"/>
  <c r="J54" i="7"/>
  <c r="K54" i="7"/>
  <c r="L54" i="7"/>
  <c r="M54" i="7"/>
  <c r="O54" i="7"/>
  <c r="P54" i="7"/>
  <c r="Q54" i="7"/>
  <c r="R54" i="7"/>
  <c r="T54" i="7"/>
  <c r="U54" i="7"/>
  <c r="V54" i="7"/>
  <c r="W54" i="7"/>
  <c r="AD54" i="7"/>
  <c r="AE54" i="7"/>
  <c r="AF54" i="7"/>
  <c r="AG54" i="7"/>
  <c r="AI54" i="7"/>
  <c r="AJ54" i="7"/>
  <c r="AK54" i="7"/>
  <c r="AL54" i="7"/>
  <c r="B55" i="7"/>
  <c r="C55" i="7"/>
  <c r="E55" i="7"/>
  <c r="F55" i="7"/>
  <c r="G55" i="7"/>
  <c r="H55" i="7"/>
  <c r="J55" i="7"/>
  <c r="K55" i="7"/>
  <c r="L55" i="7"/>
  <c r="M55" i="7"/>
  <c r="O55" i="7"/>
  <c r="P55" i="7"/>
  <c r="Q55" i="7"/>
  <c r="R55" i="7"/>
  <c r="T55" i="7"/>
  <c r="U55" i="7"/>
  <c r="V55" i="7"/>
  <c r="W55" i="7"/>
  <c r="AD55" i="7"/>
  <c r="AS55" i="7" s="1"/>
  <c r="AE55" i="7"/>
  <c r="AF55" i="7"/>
  <c r="AG55" i="7"/>
  <c r="AI55" i="7"/>
  <c r="AX55" i="7" s="1"/>
  <c r="AJ55" i="7"/>
  <c r="AK55" i="7"/>
  <c r="AL55" i="7"/>
  <c r="B56" i="7"/>
  <c r="C56" i="7"/>
  <c r="E56" i="7"/>
  <c r="F56" i="7"/>
  <c r="G56" i="7"/>
  <c r="H56" i="7"/>
  <c r="J56" i="7"/>
  <c r="K56" i="7"/>
  <c r="L56" i="7"/>
  <c r="M56" i="7"/>
  <c r="O56" i="7"/>
  <c r="P56" i="7"/>
  <c r="Q56" i="7"/>
  <c r="R56" i="7"/>
  <c r="T56" i="7"/>
  <c r="U56" i="7"/>
  <c r="V56" i="7"/>
  <c r="W56" i="7"/>
  <c r="AD56" i="7"/>
  <c r="AS56" i="7" s="1"/>
  <c r="AE56" i="7"/>
  <c r="AF56" i="7"/>
  <c r="AG56" i="7"/>
  <c r="AI56" i="7"/>
  <c r="AX56" i="7" s="1"/>
  <c r="AJ56" i="7"/>
  <c r="AK56" i="7"/>
  <c r="AL56" i="7"/>
  <c r="B57" i="7"/>
  <c r="C57" i="7"/>
  <c r="E57" i="7"/>
  <c r="F57" i="7"/>
  <c r="G57" i="7"/>
  <c r="H57" i="7"/>
  <c r="J57" i="7"/>
  <c r="K57" i="7"/>
  <c r="L57" i="7"/>
  <c r="M57" i="7"/>
  <c r="O57" i="7"/>
  <c r="P57" i="7"/>
  <c r="Q57" i="7"/>
  <c r="R57" i="7"/>
  <c r="T57" i="7"/>
  <c r="U57" i="7"/>
  <c r="V57" i="7"/>
  <c r="W57" i="7"/>
  <c r="AD57" i="7"/>
  <c r="AS57" i="7" s="1"/>
  <c r="AE57" i="7"/>
  <c r="AF57" i="7"/>
  <c r="AG57" i="7"/>
  <c r="AI57" i="7"/>
  <c r="AJ57" i="7"/>
  <c r="AK57" i="7"/>
  <c r="AL57" i="7"/>
  <c r="B58" i="7"/>
  <c r="C58" i="7"/>
  <c r="E58" i="7"/>
  <c r="F58" i="7"/>
  <c r="G58" i="7"/>
  <c r="H58" i="7"/>
  <c r="J58" i="7"/>
  <c r="K58" i="7"/>
  <c r="L58" i="7"/>
  <c r="M58" i="7"/>
  <c r="O58" i="7"/>
  <c r="P58" i="7"/>
  <c r="Q58" i="7"/>
  <c r="R58" i="7"/>
  <c r="T58" i="7"/>
  <c r="U58" i="7"/>
  <c r="V58" i="7"/>
  <c r="W58" i="7"/>
  <c r="AD58" i="7"/>
  <c r="AS58" i="7" s="1"/>
  <c r="AE58" i="7"/>
  <c r="AF58" i="7"/>
  <c r="AG58" i="7"/>
  <c r="AI58" i="7"/>
  <c r="AX58" i="7" s="1"/>
  <c r="AJ58" i="7"/>
  <c r="AK58" i="7"/>
  <c r="AL58" i="7"/>
  <c r="B59" i="7"/>
  <c r="C59" i="7"/>
  <c r="E59" i="7"/>
  <c r="F59" i="7"/>
  <c r="G59" i="7"/>
  <c r="H59" i="7"/>
  <c r="J59" i="7"/>
  <c r="K59" i="7"/>
  <c r="L59" i="7"/>
  <c r="M59" i="7"/>
  <c r="O59" i="7"/>
  <c r="P59" i="7"/>
  <c r="Q59" i="7"/>
  <c r="R59" i="7"/>
  <c r="T59" i="7"/>
  <c r="U59" i="7"/>
  <c r="V59" i="7"/>
  <c r="W59" i="7"/>
  <c r="AD59" i="7"/>
  <c r="AS59" i="7" s="1"/>
  <c r="AE59" i="7"/>
  <c r="AF59" i="7"/>
  <c r="AG59" i="7"/>
  <c r="AI59" i="7"/>
  <c r="AX59" i="7" s="1"/>
  <c r="AJ59" i="7"/>
  <c r="AK59" i="7"/>
  <c r="AL59" i="7"/>
  <c r="B60" i="7"/>
  <c r="C60" i="7"/>
  <c r="E60" i="7"/>
  <c r="F60" i="7"/>
  <c r="G60" i="7"/>
  <c r="H60" i="7"/>
  <c r="J60" i="7"/>
  <c r="K60" i="7"/>
  <c r="L60" i="7"/>
  <c r="M60" i="7"/>
  <c r="O60" i="7"/>
  <c r="P60" i="7"/>
  <c r="Q60" i="7"/>
  <c r="R60" i="7"/>
  <c r="T60" i="7"/>
  <c r="U60" i="7"/>
  <c r="V60" i="7"/>
  <c r="W60" i="7"/>
  <c r="AD60" i="7"/>
  <c r="AE60" i="7"/>
  <c r="AF60" i="7"/>
  <c r="AG60" i="7"/>
  <c r="AI60" i="7"/>
  <c r="AX60" i="7" s="1"/>
  <c r="AJ60" i="7"/>
  <c r="AK60" i="7"/>
  <c r="AL60" i="7"/>
  <c r="AV21" i="7" l="1"/>
  <c r="AZ31" i="7"/>
  <c r="AZ21" i="7"/>
  <c r="AU37" i="7"/>
  <c r="I56" i="7"/>
  <c r="AV9" i="7"/>
  <c r="AM9" i="7"/>
  <c r="AY9" i="7"/>
  <c r="S13" i="7"/>
  <c r="AP30" i="7"/>
  <c r="AZ27" i="7"/>
  <c r="AZ23" i="7"/>
  <c r="N38" i="7"/>
  <c r="AX9" i="7"/>
  <c r="AZ15" i="7"/>
  <c r="AH40" i="7"/>
  <c r="AZ41" i="7"/>
  <c r="N12" i="7"/>
  <c r="AZ10" i="7"/>
  <c r="I8" i="7"/>
  <c r="S3" i="7"/>
  <c r="BA40" i="7"/>
  <c r="Z3" i="7"/>
  <c r="AZ33" i="7"/>
  <c r="BA51" i="7"/>
  <c r="AV19" i="7"/>
  <c r="AT57" i="7"/>
  <c r="BA26" i="7"/>
  <c r="AH5" i="7"/>
  <c r="AS5" i="7"/>
  <c r="AY51" i="7"/>
  <c r="I36" i="7"/>
  <c r="AZ28" i="7"/>
  <c r="AH58" i="7"/>
  <c r="AW58" i="7" s="1"/>
  <c r="AV56" i="7"/>
  <c r="Z47" i="7"/>
  <c r="AT38" i="7"/>
  <c r="AZ9" i="7"/>
  <c r="S25" i="7"/>
  <c r="AH17" i="7"/>
  <c r="AW17" i="7" s="1"/>
  <c r="AB59" i="7"/>
  <c r="N51" i="7"/>
  <c r="X24" i="7"/>
  <c r="AU51" i="7"/>
  <c r="BA32" i="7"/>
  <c r="BA24" i="7"/>
  <c r="AS17" i="7"/>
  <c r="AU57" i="7"/>
  <c r="AY49" i="7"/>
  <c r="BA45" i="7"/>
  <c r="X34" i="7"/>
  <c r="AZ11" i="7"/>
  <c r="N59" i="7"/>
  <c r="AZ32" i="7"/>
  <c r="AZ24" i="7"/>
  <c r="BA5" i="7"/>
  <c r="N58" i="7"/>
  <c r="BA55" i="7"/>
  <c r="AA49" i="7"/>
  <c r="S40" i="7"/>
  <c r="N25" i="7"/>
  <c r="AY16" i="7"/>
  <c r="AY53" i="7"/>
  <c r="S28" i="7"/>
  <c r="N16" i="7"/>
  <c r="AV11" i="7"/>
  <c r="X25" i="7"/>
  <c r="AT21" i="7"/>
  <c r="AT14" i="7"/>
  <c r="AM7" i="7"/>
  <c r="BB7" i="7" s="1"/>
  <c r="N6" i="7"/>
  <c r="AV45" i="7"/>
  <c r="BA42" i="7"/>
  <c r="AZ37" i="7"/>
  <c r="AM10" i="7"/>
  <c r="BB10" i="7" s="1"/>
  <c r="AY8" i="7"/>
  <c r="AT44" i="7"/>
  <c r="BA23" i="7"/>
  <c r="AP23" i="7"/>
  <c r="BA18" i="7"/>
  <c r="AT13" i="7"/>
  <c r="AP9" i="7"/>
  <c r="X56" i="7"/>
  <c r="AQ56" i="7"/>
  <c r="AV55" i="7"/>
  <c r="AT56" i="7"/>
  <c r="AN50" i="7"/>
  <c r="AU43" i="7"/>
  <c r="I26" i="7"/>
  <c r="AM40" i="7"/>
  <c r="BB40" i="7" s="1"/>
  <c r="AY29" i="7"/>
  <c r="S9" i="7"/>
  <c r="AY59" i="7"/>
  <c r="N57" i="7"/>
  <c r="AH55" i="7"/>
  <c r="AW55" i="7" s="1"/>
  <c r="X48" i="7"/>
  <c r="AP46" i="7"/>
  <c r="I40" i="7"/>
  <c r="AY32" i="7"/>
  <c r="S21" i="7"/>
  <c r="X19" i="7"/>
  <c r="X16" i="7"/>
  <c r="AZ54" i="7"/>
  <c r="I44" i="7"/>
  <c r="AU30" i="7"/>
  <c r="AT22" i="7"/>
  <c r="Z20" i="7"/>
  <c r="X51" i="7"/>
  <c r="S26" i="7"/>
  <c r="AV15" i="7"/>
  <c r="AB9" i="7"/>
  <c r="AQ39" i="7"/>
  <c r="AV5" i="7"/>
  <c r="AN3" i="7"/>
  <c r="X59" i="7"/>
  <c r="N55" i="7"/>
  <c r="AT43" i="7"/>
  <c r="AP42" i="7"/>
  <c r="AV38" i="7"/>
  <c r="AU39" i="7"/>
  <c r="AZ36" i="7"/>
  <c r="Y36" i="7"/>
  <c r="S32" i="7"/>
  <c r="AZ30" i="7"/>
  <c r="AT28" i="7"/>
  <c r="S23" i="7"/>
  <c r="S11" i="7"/>
  <c r="Z4" i="7"/>
  <c r="AV53" i="7"/>
  <c r="AM49" i="7"/>
  <c r="BB49" i="7" s="1"/>
  <c r="AU48" i="7"/>
  <c r="AN39" i="7"/>
  <c r="AY36" i="7"/>
  <c r="AT32" i="7"/>
  <c r="AM21" i="7"/>
  <c r="BB21" i="7" s="1"/>
  <c r="Z17" i="7"/>
  <c r="AU14" i="7"/>
  <c r="AT11" i="7"/>
  <c r="X7" i="7"/>
  <c r="AN4" i="7"/>
  <c r="Z57" i="7"/>
  <c r="S52" i="7"/>
  <c r="AH48" i="7"/>
  <c r="AM45" i="7"/>
  <c r="BB45" i="7" s="1"/>
  <c r="AZ45" i="7"/>
  <c r="AV33" i="7"/>
  <c r="AT25" i="7"/>
  <c r="AH23" i="7"/>
  <c r="AW23" i="7" s="1"/>
  <c r="AY20" i="7"/>
  <c r="AU13" i="7"/>
  <c r="I4" i="7"/>
  <c r="AA58" i="7"/>
  <c r="AZ55" i="7"/>
  <c r="AT54" i="7"/>
  <c r="AU24" i="7"/>
  <c r="AM22" i="7"/>
  <c r="BB22" i="7" s="1"/>
  <c r="AQ16" i="7"/>
  <c r="AU8" i="7"/>
  <c r="AM4" i="7"/>
  <c r="BB4" i="7" s="1"/>
  <c r="AM55" i="7"/>
  <c r="BB55" i="7" s="1"/>
  <c r="AA54" i="7"/>
  <c r="BA43" i="7"/>
  <c r="AV40" i="7"/>
  <c r="AZ29" i="7"/>
  <c r="AT8" i="7"/>
  <c r="AT6" i="7"/>
  <c r="S38" i="7"/>
  <c r="S19" i="7"/>
  <c r="AR19" i="7" s="1"/>
  <c r="S54" i="7"/>
  <c r="S55" i="7"/>
  <c r="AH47" i="7"/>
  <c r="AW47" i="7" s="1"/>
  <c r="S44" i="7"/>
  <c r="AM28" i="7"/>
  <c r="BB28" i="7" s="1"/>
  <c r="AB28" i="7"/>
  <c r="X17" i="7"/>
  <c r="AT9" i="7"/>
  <c r="Y52" i="7"/>
  <c r="X57" i="7"/>
  <c r="AA57" i="7"/>
  <c r="Y46" i="7"/>
  <c r="AH37" i="7"/>
  <c r="AW37" i="7" s="1"/>
  <c r="BA36" i="7"/>
  <c r="AH25" i="7"/>
  <c r="AW25" i="7" s="1"/>
  <c r="AT26" i="7"/>
  <c r="AM19" i="7"/>
  <c r="BB19" i="7" s="1"/>
  <c r="N19" i="7"/>
  <c r="I13" i="7"/>
  <c r="X10" i="7"/>
  <c r="X4" i="7"/>
  <c r="AA4" i="7"/>
  <c r="AM60" i="7"/>
  <c r="BB60" i="7" s="1"/>
  <c r="X58" i="7"/>
  <c r="I28" i="7"/>
  <c r="AB25" i="7"/>
  <c r="AM20" i="7"/>
  <c r="BB20" i="7" s="1"/>
  <c r="I16" i="7"/>
  <c r="Y4" i="7"/>
  <c r="S56" i="7"/>
  <c r="AU53" i="7"/>
  <c r="AQ41" i="7"/>
  <c r="AT39" i="7"/>
  <c r="AY22" i="7"/>
  <c r="AA19" i="7"/>
  <c r="S15" i="7"/>
  <c r="AY14" i="7"/>
  <c r="AA9" i="7"/>
  <c r="S60" i="7"/>
  <c r="AH59" i="7"/>
  <c r="AW59" i="7" s="1"/>
  <c r="S57" i="7"/>
  <c r="AM53" i="7"/>
  <c r="BB53" i="7" s="1"/>
  <c r="AU52" i="7"/>
  <c r="AM46" i="7"/>
  <c r="BB46" i="7" s="1"/>
  <c r="N37" i="7"/>
  <c r="AH34" i="7"/>
  <c r="AW34" i="7" s="1"/>
  <c r="Y32" i="7"/>
  <c r="AU29" i="7"/>
  <c r="S29" i="7"/>
  <c r="AY30" i="7"/>
  <c r="Z19" i="7"/>
  <c r="BA16" i="7"/>
  <c r="AT16" i="7"/>
  <c r="S16" i="7"/>
  <c r="AZ22" i="7"/>
  <c r="AH56" i="7"/>
  <c r="AW56" i="7" s="1"/>
  <c r="S53" i="7"/>
  <c r="AH51" i="7"/>
  <c r="AW51" i="7" s="1"/>
  <c r="Z49" i="7"/>
  <c r="AZ42" i="7"/>
  <c r="S42" i="7"/>
  <c r="AB37" i="7"/>
  <c r="AS34" i="7"/>
  <c r="AM31" i="7"/>
  <c r="BB31" i="7" s="1"/>
  <c r="AN26" i="7"/>
  <c r="Z25" i="7"/>
  <c r="AH22" i="7"/>
  <c r="AW22" i="7" s="1"/>
  <c r="AB20" i="7"/>
  <c r="Y19" i="7"/>
  <c r="AM13" i="7"/>
  <c r="BB13" i="7" s="1"/>
  <c r="X13" i="7"/>
  <c r="S10" i="7"/>
  <c r="S58" i="7"/>
  <c r="AA50" i="7"/>
  <c r="AH43" i="7"/>
  <c r="AW43" i="7" s="1"/>
  <c r="N42" i="7"/>
  <c r="BA41" i="7"/>
  <c r="X38" i="7"/>
  <c r="X37" i="7"/>
  <c r="AB26" i="7"/>
  <c r="Y25" i="7"/>
  <c r="AV22" i="7"/>
  <c r="S22" i="7"/>
  <c r="I22" i="7"/>
  <c r="S8" i="7"/>
  <c r="S4" i="7"/>
  <c r="AM54" i="7"/>
  <c r="AQ51" i="7"/>
  <c r="Z50" i="7"/>
  <c r="N48" i="7"/>
  <c r="AV48" i="7"/>
  <c r="AZ40" i="7"/>
  <c r="AB38" i="7"/>
  <c r="AU36" i="7"/>
  <c r="S36" i="7"/>
  <c r="AY33" i="7"/>
  <c r="AV29" i="7"/>
  <c r="AV25" i="7"/>
  <c r="I19" i="7"/>
  <c r="AV8" i="7"/>
  <c r="X5" i="7"/>
  <c r="AT48" i="7"/>
  <c r="AB60" i="7"/>
  <c r="AA60" i="7"/>
  <c r="BA56" i="7"/>
  <c r="AT53" i="7"/>
  <c r="X52" i="7"/>
  <c r="AY48" i="7"/>
  <c r="Z43" i="7"/>
  <c r="X40" i="7"/>
  <c r="Z39" i="7"/>
  <c r="AU31" i="7"/>
  <c r="S31" i="7"/>
  <c r="AM26" i="7"/>
  <c r="BB26" i="7" s="1"/>
  <c r="AU25" i="7"/>
  <c r="AU22" i="7"/>
  <c r="AY21" i="7"/>
  <c r="N18" i="7"/>
  <c r="N7" i="7"/>
  <c r="X6" i="7"/>
  <c r="AQ5" i="7"/>
  <c r="AZ48" i="7"/>
  <c r="AY55" i="7"/>
  <c r="AY56" i="7"/>
  <c r="AY54" i="7"/>
  <c r="AM44" i="7"/>
  <c r="BB44" i="7" s="1"/>
  <c r="AY31" i="7"/>
  <c r="AM59" i="7"/>
  <c r="BB59" i="7" s="1"/>
  <c r="AX53" i="7"/>
  <c r="AM3" i="7"/>
  <c r="AX54" i="7"/>
  <c r="AX49" i="7"/>
  <c r="AX31" i="7"/>
  <c r="AX28" i="7"/>
  <c r="AX26" i="7"/>
  <c r="AM42" i="7"/>
  <c r="BB42" i="7" s="1"/>
  <c r="AX40" i="7"/>
  <c r="BA11" i="7"/>
  <c r="BA57" i="7"/>
  <c r="AY40" i="7"/>
  <c r="AM29" i="7"/>
  <c r="BB29" i="7" s="1"/>
  <c r="AM35" i="7"/>
  <c r="BB35" i="7" s="1"/>
  <c r="AY57" i="7"/>
  <c r="AM50" i="7"/>
  <c r="BB50" i="7" s="1"/>
  <c r="AM47" i="7"/>
  <c r="BB47" i="7" s="1"/>
  <c r="AZ46" i="7"/>
  <c r="AY45" i="7"/>
  <c r="AZ44" i="7"/>
  <c r="BA22" i="7"/>
  <c r="AZ16" i="7"/>
  <c r="AY12" i="7"/>
  <c r="X35" i="7"/>
  <c r="AA3" i="7"/>
  <c r="X28" i="7"/>
  <c r="X46" i="7"/>
  <c r="AB46" i="7"/>
  <c r="X43" i="7"/>
  <c r="X42" i="7"/>
  <c r="X55" i="7"/>
  <c r="Z44" i="7"/>
  <c r="AA28" i="7"/>
  <c r="Z58" i="7"/>
  <c r="Z28" i="7"/>
  <c r="X23" i="7"/>
  <c r="AN20" i="7"/>
  <c r="X14" i="7"/>
  <c r="Z5" i="7"/>
  <c r="AB3" i="7"/>
  <c r="Z46" i="7"/>
  <c r="AP28" i="7"/>
  <c r="AA26" i="7"/>
  <c r="Z12" i="7"/>
  <c r="AN7" i="7"/>
  <c r="BC7" i="7" s="1"/>
  <c r="AB57" i="7"/>
  <c r="AP55" i="7"/>
  <c r="AB54" i="7"/>
  <c r="X49" i="7"/>
  <c r="AB34" i="7"/>
  <c r="AP11" i="7"/>
  <c r="X9" i="7"/>
  <c r="AN60" i="7"/>
  <c r="AB49" i="7"/>
  <c r="Y43" i="7"/>
  <c r="AO44" i="7"/>
  <c r="Z13" i="7"/>
  <c r="AN10" i="7"/>
  <c r="Y7" i="7"/>
  <c r="X44" i="7"/>
  <c r="AN55" i="7"/>
  <c r="BC55" i="7" s="1"/>
  <c r="AQ54" i="7"/>
  <c r="AO14" i="7"/>
  <c r="AQ55" i="7"/>
  <c r="AA37" i="7"/>
  <c r="AN14" i="7"/>
  <c r="BC14" i="7" s="1"/>
  <c r="X12" i="7"/>
  <c r="AA45" i="7"/>
  <c r="Z42" i="7"/>
  <c r="AO42" i="7"/>
  <c r="AO39" i="7"/>
  <c r="Z37" i="7"/>
  <c r="AB19" i="7"/>
  <c r="X18" i="7"/>
  <c r="X11" i="7"/>
  <c r="S41" i="7"/>
  <c r="Z6" i="7"/>
  <c r="S14" i="7"/>
  <c r="Y42" i="7"/>
  <c r="AP31" i="7"/>
  <c r="Y23" i="7"/>
  <c r="S45" i="7"/>
  <c r="S20" i="7"/>
  <c r="AP16" i="7"/>
  <c r="AB6" i="7"/>
  <c r="Y56" i="7"/>
  <c r="Z41" i="7"/>
  <c r="AA38" i="7"/>
  <c r="AO29" i="7"/>
  <c r="AQ28" i="7"/>
  <c r="AQ9" i="7"/>
  <c r="S39" i="7"/>
  <c r="AB31" i="7"/>
  <c r="Z18" i="7"/>
  <c r="AB5" i="7"/>
  <c r="AQ60" i="7"/>
  <c r="AO55" i="7"/>
  <c r="S50" i="7"/>
  <c r="AB43" i="7"/>
  <c r="S37" i="7"/>
  <c r="Z11" i="7"/>
  <c r="S59" i="7"/>
  <c r="S47" i="7"/>
  <c r="AB24" i="7"/>
  <c r="AQ18" i="7"/>
  <c r="Y11" i="7"/>
  <c r="Y10" i="7"/>
  <c r="AA5" i="7"/>
  <c r="AU42" i="7"/>
  <c r="AU38" i="7"/>
  <c r="AH19" i="7"/>
  <c r="AW19" i="7" s="1"/>
  <c r="AH6" i="7"/>
  <c r="AW6" i="7" s="1"/>
  <c r="AV52" i="7"/>
  <c r="AV51" i="7"/>
  <c r="AH45" i="7"/>
  <c r="AW45" i="7" s="1"/>
  <c r="AV36" i="7"/>
  <c r="AH7" i="7"/>
  <c r="AW7" i="7" s="1"/>
  <c r="AV46" i="7"/>
  <c r="AT52" i="7"/>
  <c r="AU50" i="7"/>
  <c r="AU47" i="7"/>
  <c r="AU45" i="7"/>
  <c r="AV37" i="7"/>
  <c r="AT36" i="7"/>
  <c r="AU28" i="7"/>
  <c r="AT51" i="7"/>
  <c r="AU60" i="7"/>
  <c r="AT50" i="7"/>
  <c r="AH46" i="7"/>
  <c r="AW46" i="7" s="1"/>
  <c r="AU34" i="7"/>
  <c r="AH32" i="7"/>
  <c r="AU7" i="7"/>
  <c r="AT59" i="7"/>
  <c r="AV59" i="7"/>
  <c r="AH57" i="7"/>
  <c r="AW57" i="7" s="1"/>
  <c r="AT34" i="7"/>
  <c r="AT7" i="7"/>
  <c r="AT29" i="7"/>
  <c r="AT15" i="7"/>
  <c r="AT27" i="7"/>
  <c r="AH16" i="7"/>
  <c r="AW16" i="7" s="1"/>
  <c r="AH12" i="7"/>
  <c r="AW12" i="7" s="1"/>
  <c r="AV47" i="7"/>
  <c r="AV58" i="7"/>
  <c r="AH52" i="7"/>
  <c r="AW52" i="7" s="1"/>
  <c r="AT33" i="7"/>
  <c r="AU11" i="7"/>
  <c r="AH18" i="7"/>
  <c r="AW18" i="7" s="1"/>
  <c r="AV28" i="7"/>
  <c r="AU54" i="7"/>
  <c r="AH41" i="7"/>
  <c r="AW41" i="7" s="1"/>
  <c r="AH24" i="7"/>
  <c r="AW24" i="7" s="1"/>
  <c r="AO60" i="7"/>
  <c r="AO10" i="7"/>
  <c r="N56" i="7"/>
  <c r="N43" i="7"/>
  <c r="AA53" i="7"/>
  <c r="AO43" i="7"/>
  <c r="AB15" i="7"/>
  <c r="Y48" i="7"/>
  <c r="AB40" i="7"/>
  <c r="AB35" i="7"/>
  <c r="AQ32" i="7"/>
  <c r="AQ12" i="7"/>
  <c r="AP4" i="7"/>
  <c r="AN52" i="7"/>
  <c r="BC52" i="7" s="1"/>
  <c r="AO47" i="7"/>
  <c r="N23" i="7"/>
  <c r="AP21" i="7"/>
  <c r="AO4" i="7"/>
  <c r="BD4" i="7" s="1"/>
  <c r="Z52" i="7"/>
  <c r="AO49" i="7"/>
  <c r="AB33" i="7"/>
  <c r="AP22" i="7"/>
  <c r="AB8" i="7"/>
  <c r="AB7" i="7"/>
  <c r="AB58" i="7"/>
  <c r="AB51" i="7"/>
  <c r="AB50" i="7"/>
  <c r="AB39" i="7"/>
  <c r="Z29" i="7"/>
  <c r="AB27" i="7"/>
  <c r="AA25" i="7"/>
  <c r="AB21" i="7"/>
  <c r="AN15" i="7"/>
  <c r="AB14" i="7"/>
  <c r="N11" i="7"/>
  <c r="Y37" i="7"/>
  <c r="Z34" i="7"/>
  <c r="AN29" i="7"/>
  <c r="N28" i="7"/>
  <c r="AA8" i="7"/>
  <c r="N4" i="7"/>
  <c r="N52" i="7"/>
  <c r="N46" i="7"/>
  <c r="AA39" i="7"/>
  <c r="AB32" i="7"/>
  <c r="AA27" i="7"/>
  <c r="AB13" i="7"/>
  <c r="AQ10" i="7"/>
  <c r="AO8" i="7"/>
  <c r="I59" i="7"/>
  <c r="I53" i="7"/>
  <c r="BA52" i="7"/>
  <c r="BA29" i="7"/>
  <c r="AQ29" i="7"/>
  <c r="AQ26" i="7"/>
  <c r="I55" i="7"/>
  <c r="AQ52" i="7"/>
  <c r="AQ46" i="7"/>
  <c r="AY35" i="7"/>
  <c r="AN28" i="7"/>
  <c r="AQ27" i="7"/>
  <c r="AV23" i="7"/>
  <c r="AQ22" i="7"/>
  <c r="AV17" i="7"/>
  <c r="AO17" i="7"/>
  <c r="Z14" i="7"/>
  <c r="AY42" i="7"/>
  <c r="Y24" i="7"/>
  <c r="BA10" i="7"/>
  <c r="I54" i="7"/>
  <c r="AB53" i="7"/>
  <c r="BA46" i="7"/>
  <c r="AT45" i="7"/>
  <c r="AY44" i="7"/>
  <c r="I42" i="7"/>
  <c r="AR42" i="7" s="1"/>
  <c r="AN38" i="7"/>
  <c r="BC38" i="7" s="1"/>
  <c r="AO20" i="7"/>
  <c r="AA18" i="7"/>
  <c r="AZ60" i="7"/>
  <c r="AY60" i="7"/>
  <c r="AT55" i="7"/>
  <c r="AZ51" i="7"/>
  <c r="AZ50" i="7"/>
  <c r="I49" i="7"/>
  <c r="AZ39" i="7"/>
  <c r="Z27" i="7"/>
  <c r="AN22" i="7"/>
  <c r="BC22" i="7" s="1"/>
  <c r="AB22" i="7"/>
  <c r="AO18" i="7"/>
  <c r="BA17" i="7"/>
  <c r="Y13" i="7"/>
  <c r="AV10" i="7"/>
  <c r="I60" i="7"/>
  <c r="AO57" i="7"/>
  <c r="AY50" i="7"/>
  <c r="AB48" i="7"/>
  <c r="BA47" i="7"/>
  <c r="AB44" i="7"/>
  <c r="AT40" i="7"/>
  <c r="AY39" i="7"/>
  <c r="BA28" i="7"/>
  <c r="BA27" i="7"/>
  <c r="BA12" i="7"/>
  <c r="I11" i="7"/>
  <c r="AY10" i="7"/>
  <c r="AO9" i="7"/>
  <c r="I7" i="7"/>
  <c r="Z45" i="7"/>
  <c r="AA22" i="7"/>
  <c r="AB17" i="7"/>
  <c r="AU10" i="7"/>
  <c r="I9" i="7"/>
  <c r="Y58" i="7"/>
  <c r="AA48" i="7"/>
  <c r="AZ47" i="7"/>
  <c r="AT47" i="7"/>
  <c r="AA44" i="7"/>
  <c r="AY38" i="7"/>
  <c r="AV30" i="7"/>
  <c r="I20" i="7"/>
  <c r="AV16" i="7"/>
  <c r="AT10" i="7"/>
  <c r="AB10" i="7"/>
  <c r="AP8" i="7"/>
  <c r="AN59" i="7"/>
  <c r="BC59" i="7" s="1"/>
  <c r="AV60" i="7"/>
  <c r="AP53" i="7"/>
  <c r="AT60" i="7"/>
  <c r="Z55" i="7"/>
  <c r="AP50" i="7"/>
  <c r="AA42" i="7"/>
  <c r="I41" i="7"/>
  <c r="AP36" i="7"/>
  <c r="AZ34" i="7"/>
  <c r="Z30" i="7"/>
  <c r="AY26" i="7"/>
  <c r="AA17" i="7"/>
  <c r="Z8" i="7"/>
  <c r="Y51" i="7"/>
  <c r="Y55" i="7"/>
  <c r="AV54" i="7"/>
  <c r="AO50" i="7"/>
  <c r="AY43" i="7"/>
  <c r="AV39" i="7"/>
  <c r="BA37" i="7"/>
  <c r="AN35" i="7"/>
  <c r="AP32" i="7"/>
  <c r="AZ25" i="7"/>
  <c r="Z23" i="7"/>
  <c r="AT20" i="7"/>
  <c r="AU16" i="7"/>
  <c r="BE16" i="7" s="1"/>
  <c r="AA10" i="7"/>
  <c r="AW5" i="7"/>
  <c r="AP58" i="7"/>
  <c r="AZ58" i="7"/>
  <c r="AY58" i="7"/>
  <c r="AO58" i="7"/>
  <c r="AA56" i="7"/>
  <c r="Z54" i="7"/>
  <c r="AQ45" i="7"/>
  <c r="N54" i="7"/>
  <c r="Y54" i="7"/>
  <c r="AM52" i="7"/>
  <c r="BB52" i="7" s="1"/>
  <c r="AB52" i="7"/>
  <c r="AP51" i="7"/>
  <c r="AX48" i="7"/>
  <c r="AM48" i="7"/>
  <c r="BB48" i="7" s="1"/>
  <c r="Z32" i="7"/>
  <c r="AO32" i="7"/>
  <c r="N32" i="7"/>
  <c r="Z59" i="7"/>
  <c r="X54" i="7"/>
  <c r="I51" i="7"/>
  <c r="AO51" i="7"/>
  <c r="AH50" i="7"/>
  <c r="AW50" i="7" s="1"/>
  <c r="AH44" i="7"/>
  <c r="AW44" i="7" s="1"/>
  <c r="AS44" i="7"/>
  <c r="AM57" i="7"/>
  <c r="BB57" i="7" s="1"/>
  <c r="AX57" i="7"/>
  <c r="AA52" i="7"/>
  <c r="S51" i="7"/>
  <c r="AA47" i="7"/>
  <c r="AP47" i="7"/>
  <c r="X32" i="7"/>
  <c r="Z60" i="7"/>
  <c r="AP56" i="7"/>
  <c r="AU56" i="7"/>
  <c r="Z53" i="7"/>
  <c r="AA51" i="7"/>
  <c r="AP52" i="7"/>
  <c r="N49" i="7"/>
  <c r="Y49" i="7"/>
  <c r="AN44" i="7"/>
  <c r="AM43" i="7"/>
  <c r="BB43" i="7" s="1"/>
  <c r="I38" i="7"/>
  <c r="AO38" i="7"/>
  <c r="Z38" i="7"/>
  <c r="AU58" i="7"/>
  <c r="AT58" i="7"/>
  <c r="N53" i="7"/>
  <c r="Y53" i="7"/>
  <c r="Z51" i="7"/>
  <c r="AO52" i="7"/>
  <c r="N47" i="7"/>
  <c r="Y47" i="7"/>
  <c r="AB45" i="7"/>
  <c r="AH42" i="7"/>
  <c r="AW42" i="7" s="1"/>
  <c r="AT42" i="7"/>
  <c r="N41" i="7"/>
  <c r="Y57" i="7"/>
  <c r="AP59" i="7"/>
  <c r="AZ59" i="7"/>
  <c r="AM56" i="7"/>
  <c r="BB56" i="7" s="1"/>
  <c r="AB55" i="7"/>
  <c r="AP54" i="7"/>
  <c r="X53" i="7"/>
  <c r="N50" i="7"/>
  <c r="S49" i="7"/>
  <c r="AO48" i="7"/>
  <c r="X45" i="7"/>
  <c r="N31" i="7"/>
  <c r="Y31" i="7"/>
  <c r="AN31" i="7"/>
  <c r="N60" i="7"/>
  <c r="Y60" i="7"/>
  <c r="AO54" i="7"/>
  <c r="AH54" i="7"/>
  <c r="AW54" i="7" s="1"/>
  <c r="AS54" i="7"/>
  <c r="AH49" i="7"/>
  <c r="AW49" i="7" s="1"/>
  <c r="AS49" i="7"/>
  <c r="AN48" i="7"/>
  <c r="BA49" i="7"/>
  <c r="I48" i="7"/>
  <c r="AQ49" i="7"/>
  <c r="AV49" i="7"/>
  <c r="X47" i="7"/>
  <c r="S46" i="7"/>
  <c r="X41" i="7"/>
  <c r="AA35" i="7"/>
  <c r="AQ57" i="7"/>
  <c r="Z56" i="7"/>
  <c r="X60" i="7"/>
  <c r="AO59" i="7"/>
  <c r="Y59" i="7"/>
  <c r="AZ56" i="7"/>
  <c r="AV57" i="7"/>
  <c r="AN56" i="7"/>
  <c r="BC56" i="7" s="1"/>
  <c r="AA55" i="7"/>
  <c r="AN54" i="7"/>
  <c r="AU55" i="7"/>
  <c r="AM51" i="7"/>
  <c r="BB51" i="7" s="1"/>
  <c r="X50" i="7"/>
  <c r="AN49" i="7"/>
  <c r="Z48" i="7"/>
  <c r="S48" i="7"/>
  <c r="AP49" i="7"/>
  <c r="AZ49" i="7"/>
  <c r="AU49" i="7"/>
  <c r="AW48" i="7"/>
  <c r="AQ40" i="7"/>
  <c r="AT41" i="7"/>
  <c r="AY41" i="7"/>
  <c r="AO41" i="7"/>
  <c r="I35" i="7"/>
  <c r="AY46" i="7"/>
  <c r="AO46" i="7"/>
  <c r="AT46" i="7"/>
  <c r="AA59" i="7"/>
  <c r="AP57" i="7"/>
  <c r="AZ57" i="7"/>
  <c r="AO53" i="7"/>
  <c r="AH53" i="7"/>
  <c r="AW53" i="7" s="1"/>
  <c r="AS53" i="7"/>
  <c r="N44" i="7"/>
  <c r="Y44" i="7"/>
  <c r="AX41" i="7"/>
  <c r="AM41" i="7"/>
  <c r="BB41" i="7" s="1"/>
  <c r="N33" i="7"/>
  <c r="AN33" i="7"/>
  <c r="AH60" i="7"/>
  <c r="AW60" i="7" s="1"/>
  <c r="AS60" i="7"/>
  <c r="AN58" i="7"/>
  <c r="BC58" i="7" s="1"/>
  <c r="AQ59" i="7"/>
  <c r="BA59" i="7"/>
  <c r="AU59" i="7"/>
  <c r="AO56" i="7"/>
  <c r="AM58" i="7"/>
  <c r="BB58" i="7" s="1"/>
  <c r="I58" i="7"/>
  <c r="AP60" i="7"/>
  <c r="I57" i="7"/>
  <c r="AN57" i="7"/>
  <c r="AQ58" i="7"/>
  <c r="BA58" i="7"/>
  <c r="AB56" i="7"/>
  <c r="AN53" i="7"/>
  <c r="I52" i="7"/>
  <c r="AA43" i="7"/>
  <c r="S43" i="7"/>
  <c r="AB36" i="7"/>
  <c r="AQ36" i="7"/>
  <c r="AO37" i="7"/>
  <c r="AY37" i="7"/>
  <c r="AT37" i="7"/>
  <c r="S35" i="7"/>
  <c r="AA41" i="7"/>
  <c r="AM32" i="7"/>
  <c r="BB32" i="7" s="1"/>
  <c r="AX32" i="7"/>
  <c r="X31" i="7"/>
  <c r="I31" i="7"/>
  <c r="AQ44" i="7"/>
  <c r="BA44" i="7"/>
  <c r="AA40" i="7"/>
  <c r="X33" i="7"/>
  <c r="AY47" i="7"/>
  <c r="AN47" i="7"/>
  <c r="I47" i="7"/>
  <c r="AP45" i="7"/>
  <c r="AV44" i="7"/>
  <c r="AS43" i="7"/>
  <c r="Z40" i="7"/>
  <c r="AH38" i="7"/>
  <c r="AW38" i="7" s="1"/>
  <c r="Z36" i="7"/>
  <c r="AO36" i="7"/>
  <c r="BA31" i="7"/>
  <c r="AQ31" i="7"/>
  <c r="AN30" i="7"/>
  <c r="I30" i="7"/>
  <c r="AV31" i="7"/>
  <c r="Z26" i="7"/>
  <c r="AO26" i="7"/>
  <c r="AQ48" i="7"/>
  <c r="AO45" i="7"/>
  <c r="Y45" i="7"/>
  <c r="AP41" i="7"/>
  <c r="Y40" i="7"/>
  <c r="N39" i="7"/>
  <c r="Y39" i="7"/>
  <c r="N36" i="7"/>
  <c r="AN36" i="7"/>
  <c r="Z35" i="7"/>
  <c r="Z33" i="7"/>
  <c r="AW32" i="7"/>
  <c r="AP29" i="7"/>
  <c r="AH27" i="7"/>
  <c r="AW27" i="7" s="1"/>
  <c r="N26" i="7"/>
  <c r="AH13" i="7"/>
  <c r="AW13" i="7" s="1"/>
  <c r="I50" i="7"/>
  <c r="BA48" i="7"/>
  <c r="AN45" i="7"/>
  <c r="BC45" i="7" s="1"/>
  <c r="I45" i="7"/>
  <c r="AU44" i="7"/>
  <c r="AQ43" i="7"/>
  <c r="AP40" i="7"/>
  <c r="X39" i="7"/>
  <c r="I39" i="7"/>
  <c r="AM37" i="7"/>
  <c r="BB37" i="7" s="1"/>
  <c r="I37" i="7"/>
  <c r="X36" i="7"/>
  <c r="AQ34" i="7"/>
  <c r="BA35" i="7"/>
  <c r="AQ35" i="7"/>
  <c r="I34" i="7"/>
  <c r="AN34" i="7"/>
  <c r="I33" i="7"/>
  <c r="AV34" i="7"/>
  <c r="Y33" i="7"/>
  <c r="AA30" i="7"/>
  <c r="S30" i="7"/>
  <c r="AT31" i="7"/>
  <c r="AH29" i="7"/>
  <c r="AW29" i="7" s="1"/>
  <c r="AS29" i="7"/>
  <c r="BC29" i="7" s="1"/>
  <c r="X26" i="7"/>
  <c r="AT49" i="7"/>
  <c r="AQ50" i="7"/>
  <c r="BA50" i="7"/>
  <c r="AP48" i="7"/>
  <c r="AN42" i="7"/>
  <c r="BC42" i="7" s="1"/>
  <c r="AN41" i="7"/>
  <c r="AO40" i="7"/>
  <c r="AP39" i="7"/>
  <c r="AQ37" i="7"/>
  <c r="AM36" i="7"/>
  <c r="BB36" i="7" s="1"/>
  <c r="AX36" i="7"/>
  <c r="S34" i="7"/>
  <c r="AZ35" i="7"/>
  <c r="AP35" i="7"/>
  <c r="AP33" i="7"/>
  <c r="AH33" i="7"/>
  <c r="AW33" i="7" s="1"/>
  <c r="AS33" i="7"/>
  <c r="AQ33" i="7"/>
  <c r="I32" i="7"/>
  <c r="AN32" i="7"/>
  <c r="AO31" i="7"/>
  <c r="AH31" i="7"/>
  <c r="AW31" i="7" s="1"/>
  <c r="AS31" i="7"/>
  <c r="AV32" i="7"/>
  <c r="I29" i="7"/>
  <c r="Y29" i="7"/>
  <c r="BA30" i="7"/>
  <c r="AQ30" i="7"/>
  <c r="AV50" i="7"/>
  <c r="AA46" i="7"/>
  <c r="AP43" i="7"/>
  <c r="AZ43" i="7"/>
  <c r="AN40" i="7"/>
  <c r="AH39" i="7"/>
  <c r="AW39" i="7" s="1"/>
  <c r="AS39" i="7"/>
  <c r="Y38" i="7"/>
  <c r="Y34" i="7"/>
  <c r="N34" i="7"/>
  <c r="AO35" i="7"/>
  <c r="AT35" i="7"/>
  <c r="AO33" i="7"/>
  <c r="AU33" i="7"/>
  <c r="AU32" i="7"/>
  <c r="Y30" i="7"/>
  <c r="AB29" i="7"/>
  <c r="N27" i="7"/>
  <c r="AP27" i="7"/>
  <c r="N24" i="7"/>
  <c r="AB42" i="7"/>
  <c r="AP37" i="7"/>
  <c r="AA36" i="7"/>
  <c r="N35" i="7"/>
  <c r="Y35" i="7"/>
  <c r="AO24" i="7"/>
  <c r="AT24" i="7"/>
  <c r="AY24" i="7"/>
  <c r="S18" i="7"/>
  <c r="Y18" i="7"/>
  <c r="AP19" i="7"/>
  <c r="AZ19" i="7"/>
  <c r="AU19" i="7"/>
  <c r="Z15" i="7"/>
  <c r="AO15" i="7"/>
  <c r="I15" i="7"/>
  <c r="AN43" i="7"/>
  <c r="BA53" i="7"/>
  <c r="AQ53" i="7"/>
  <c r="AZ52" i="7"/>
  <c r="AX51" i="7"/>
  <c r="AN51" i="7"/>
  <c r="AS47" i="7"/>
  <c r="AX43" i="7"/>
  <c r="I43" i="7"/>
  <c r="Y41" i="7"/>
  <c r="AV42" i="7"/>
  <c r="AM39" i="7"/>
  <c r="BB39" i="7" s="1"/>
  <c r="AM38" i="7"/>
  <c r="BB38" i="7" s="1"/>
  <c r="AV35" i="7"/>
  <c r="AA33" i="7"/>
  <c r="AO30" i="7"/>
  <c r="AA29" i="7"/>
  <c r="X27" i="7"/>
  <c r="AA12" i="7"/>
  <c r="BB54" i="7"/>
  <c r="AY52" i="7"/>
  <c r="Y50" i="7"/>
  <c r="AB47" i="7"/>
  <c r="AN46" i="7"/>
  <c r="I46" i="7"/>
  <c r="AP44" i="7"/>
  <c r="AQ42" i="7"/>
  <c r="AV41" i="7"/>
  <c r="AN37" i="7"/>
  <c r="BC37" i="7" s="1"/>
  <c r="AQ38" i="7"/>
  <c r="BA38" i="7"/>
  <c r="BA34" i="7"/>
  <c r="AA34" i="7"/>
  <c r="AP34" i="7"/>
  <c r="BA33" i="7"/>
  <c r="AV27" i="7"/>
  <c r="AP18" i="7"/>
  <c r="AZ18" i="7"/>
  <c r="AU18" i="7"/>
  <c r="BA60" i="7"/>
  <c r="BF60" i="7" s="1"/>
  <c r="BA54" i="7"/>
  <c r="AZ53" i="7"/>
  <c r="AS50" i="7"/>
  <c r="AQ47" i="7"/>
  <c r="BF47" i="7" s="1"/>
  <c r="AX46" i="7"/>
  <c r="N45" i="7"/>
  <c r="AU46" i="7"/>
  <c r="AV43" i="7"/>
  <c r="AB41" i="7"/>
  <c r="AW40" i="7"/>
  <c r="N40" i="7"/>
  <c r="AU41" i="7"/>
  <c r="AU40" i="7"/>
  <c r="AP38" i="7"/>
  <c r="AU35" i="7"/>
  <c r="AH35" i="7"/>
  <c r="AW35" i="7" s="1"/>
  <c r="AS35" i="7"/>
  <c r="AM34" i="7"/>
  <c r="BB34" i="7" s="1"/>
  <c r="AX34" i="7"/>
  <c r="AA32" i="7"/>
  <c r="Z31" i="7"/>
  <c r="AM30" i="7"/>
  <c r="BB30" i="7" s="1"/>
  <c r="AX30" i="7"/>
  <c r="AB30" i="7"/>
  <c r="AH26" i="7"/>
  <c r="AW26" i="7" s="1"/>
  <c r="S17" i="7"/>
  <c r="Y17" i="7"/>
  <c r="AM25" i="7"/>
  <c r="BB25" i="7" s="1"/>
  <c r="I25" i="7"/>
  <c r="AB23" i="7"/>
  <c r="AQ21" i="7"/>
  <c r="AO19" i="7"/>
  <c r="AY19" i="7"/>
  <c r="AT19" i="7"/>
  <c r="N17" i="7"/>
  <c r="AT18" i="7"/>
  <c r="AY18" i="7"/>
  <c r="AA14" i="7"/>
  <c r="AP12" i="7"/>
  <c r="AZ12" i="7"/>
  <c r="AU12" i="7"/>
  <c r="AA6" i="7"/>
  <c r="AM24" i="7"/>
  <c r="BB24" i="7" s="1"/>
  <c r="AX24" i="7"/>
  <c r="N21" i="7"/>
  <c r="Y21" i="7"/>
  <c r="AU17" i="7"/>
  <c r="AP17" i="7"/>
  <c r="I12" i="7"/>
  <c r="AN12" i="7"/>
  <c r="AQ13" i="7"/>
  <c r="BA13" i="7"/>
  <c r="AV13" i="7"/>
  <c r="Y12" i="7"/>
  <c r="AB11" i="7"/>
  <c r="AQ11" i="7"/>
  <c r="AT12" i="7"/>
  <c r="AO12" i="7"/>
  <c r="S7" i="7"/>
  <c r="AA23" i="7"/>
  <c r="X21" i="7"/>
  <c r="I21" i="7"/>
  <c r="AM16" i="7"/>
  <c r="BB16" i="7" s="1"/>
  <c r="AB16" i="7"/>
  <c r="AM8" i="7"/>
  <c r="BB8" i="7" s="1"/>
  <c r="AU4" i="7"/>
  <c r="BE4" i="7" s="1"/>
  <c r="AH4" i="7"/>
  <c r="AW4" i="7" s="1"/>
  <c r="BD14" i="7"/>
  <c r="AX23" i="7"/>
  <c r="AM23" i="7"/>
  <c r="BB23" i="7" s="1"/>
  <c r="AO23" i="7"/>
  <c r="AM18" i="7"/>
  <c r="BB18" i="7" s="1"/>
  <c r="AX18" i="7"/>
  <c r="AZ17" i="7"/>
  <c r="AA16" i="7"/>
  <c r="AA15" i="7"/>
  <c r="AP15" i="7"/>
  <c r="AX11" i="7"/>
  <c r="AM11" i="7"/>
  <c r="BB11" i="7" s="1"/>
  <c r="I10" i="7"/>
  <c r="AH36" i="7"/>
  <c r="AW36" i="7" s="1"/>
  <c r="S33" i="7"/>
  <c r="AA31" i="7"/>
  <c r="N30" i="7"/>
  <c r="AN25" i="7"/>
  <c r="BC25" i="7" s="1"/>
  <c r="AV26" i="7"/>
  <c r="AY23" i="7"/>
  <c r="AY17" i="7"/>
  <c r="Z16" i="7"/>
  <c r="AO16" i="7"/>
  <c r="AA13" i="7"/>
  <c r="AO34" i="7"/>
  <c r="AY34" i="7"/>
  <c r="X30" i="7"/>
  <c r="I27" i="7"/>
  <c r="AN27" i="7"/>
  <c r="Y26" i="7"/>
  <c r="AP26" i="7"/>
  <c r="AZ26" i="7"/>
  <c r="AU26" i="7"/>
  <c r="Z21" i="7"/>
  <c r="Y20" i="7"/>
  <c r="N20" i="7"/>
  <c r="N15" i="7"/>
  <c r="Y15" i="7"/>
  <c r="AM14" i="7"/>
  <c r="BB14" i="7" s="1"/>
  <c r="AM33" i="7"/>
  <c r="BB33" i="7" s="1"/>
  <c r="AH30" i="7"/>
  <c r="AW30" i="7" s="1"/>
  <c r="S27" i="7"/>
  <c r="AT23" i="7"/>
  <c r="Z22" i="7"/>
  <c r="AO22" i="7"/>
  <c r="AH21" i="7"/>
  <c r="AW21" i="7" s="1"/>
  <c r="AS21" i="7"/>
  <c r="X20" i="7"/>
  <c r="AT17" i="7"/>
  <c r="AY15" i="7"/>
  <c r="AM15" i="7"/>
  <c r="BB15" i="7" s="1"/>
  <c r="X15" i="7"/>
  <c r="Y28" i="7"/>
  <c r="Y27" i="7"/>
  <c r="AO28" i="7"/>
  <c r="AY28" i="7"/>
  <c r="AO27" i="7"/>
  <c r="AY27" i="7"/>
  <c r="AA24" i="7"/>
  <c r="I24" i="7"/>
  <c r="AN24" i="7"/>
  <c r="BA25" i="7"/>
  <c r="AQ25" i="7"/>
  <c r="Y22" i="7"/>
  <c r="N22" i="7"/>
  <c r="AO21" i="7"/>
  <c r="AN19" i="7"/>
  <c r="BC19" i="7" s="1"/>
  <c r="AQ20" i="7"/>
  <c r="BA20" i="7"/>
  <c r="AV20" i="7"/>
  <c r="Y14" i="7"/>
  <c r="N14" i="7"/>
  <c r="N13" i="7"/>
  <c r="N29" i="7"/>
  <c r="AH28" i="7"/>
  <c r="AW28" i="7" s="1"/>
  <c r="AM27" i="7"/>
  <c r="BB27" i="7" s="1"/>
  <c r="AX27" i="7"/>
  <c r="AS26" i="7"/>
  <c r="BC26" i="7" s="1"/>
  <c r="Z24" i="7"/>
  <c r="S24" i="7"/>
  <c r="AP25" i="7"/>
  <c r="AV24" i="7"/>
  <c r="AN23" i="7"/>
  <c r="AQ24" i="7"/>
  <c r="I23" i="7"/>
  <c r="X22" i="7"/>
  <c r="AN21" i="7"/>
  <c r="AQ17" i="7"/>
  <c r="I14" i="7"/>
  <c r="BD9" i="7"/>
  <c r="N9" i="7"/>
  <c r="Y9" i="7"/>
  <c r="AN9" i="7"/>
  <c r="BA39" i="7"/>
  <c r="AZ38" i="7"/>
  <c r="X29" i="7"/>
  <c r="AU27" i="7"/>
  <c r="AO25" i="7"/>
  <c r="AY25" i="7"/>
  <c r="AQ23" i="7"/>
  <c r="AP24" i="7"/>
  <c r="BE24" i="7" s="1"/>
  <c r="AS20" i="7"/>
  <c r="AH20" i="7"/>
  <c r="AW20" i="7" s="1"/>
  <c r="AA20" i="7"/>
  <c r="I18" i="7"/>
  <c r="AN18" i="7"/>
  <c r="AQ19" i="7"/>
  <c r="BA19" i="7"/>
  <c r="AM17" i="7"/>
  <c r="BB17" i="7" s="1"/>
  <c r="AV18" i="7"/>
  <c r="AN17" i="7"/>
  <c r="BC17" i="7" s="1"/>
  <c r="I17" i="7"/>
  <c r="AH14" i="7"/>
  <c r="AW14" i="7" s="1"/>
  <c r="AM12" i="7"/>
  <c r="BB12" i="7" s="1"/>
  <c r="AX12" i="7"/>
  <c r="AA7" i="7"/>
  <c r="AV6" i="7"/>
  <c r="I5" i="7"/>
  <c r="AN5" i="7"/>
  <c r="AQ6" i="7"/>
  <c r="BA6" i="7"/>
  <c r="AU5" i="7"/>
  <c r="AP5" i="7"/>
  <c r="AZ5" i="7"/>
  <c r="I6" i="7"/>
  <c r="AN6" i="7"/>
  <c r="AQ7" i="7"/>
  <c r="BA7" i="7"/>
  <c r="S5" i="7"/>
  <c r="AP6" i="7"/>
  <c r="AZ6" i="7"/>
  <c r="AO5" i="7"/>
  <c r="AY5" i="7"/>
  <c r="AH11" i="7"/>
  <c r="AW11" i="7" s="1"/>
  <c r="AA11" i="7"/>
  <c r="AP10" i="7"/>
  <c r="Z7" i="7"/>
  <c r="S6" i="7"/>
  <c r="AP7" i="7"/>
  <c r="Y5" i="7"/>
  <c r="AC5" i="7" s="1"/>
  <c r="N5" i="7"/>
  <c r="AO6" i="7"/>
  <c r="AY6" i="7"/>
  <c r="BC4" i="7"/>
  <c r="AB4" i="7"/>
  <c r="N3" i="7"/>
  <c r="N8" i="7"/>
  <c r="Y8" i="7"/>
  <c r="Y6" i="7"/>
  <c r="AO7" i="7"/>
  <c r="X3" i="7"/>
  <c r="S12" i="7"/>
  <c r="AP13" i="7"/>
  <c r="AZ13" i="7"/>
  <c r="BC10" i="7"/>
  <c r="N10" i="7"/>
  <c r="AO11" i="7"/>
  <c r="AY11" i="7"/>
  <c r="X8" i="7"/>
  <c r="Y16" i="7"/>
  <c r="AO13" i="7"/>
  <c r="AY13" i="7"/>
  <c r="AH9" i="7"/>
  <c r="AW9" i="7" s="1"/>
  <c r="AS9" i="7"/>
  <c r="AM6" i="7"/>
  <c r="BB6" i="7" s="1"/>
  <c r="AX6" i="7"/>
  <c r="AB18" i="7"/>
  <c r="AH15" i="7"/>
  <c r="AW15" i="7" s="1"/>
  <c r="AS15" i="7"/>
  <c r="AB12" i="7"/>
  <c r="AV7" i="7"/>
  <c r="AM5" i="7"/>
  <c r="BB5" i="7" s="1"/>
  <c r="AX5" i="7"/>
  <c r="AH8" i="7"/>
  <c r="AW8" i="7" s="1"/>
  <c r="AS8" i="7"/>
  <c r="AU21" i="7"/>
  <c r="AP20" i="7"/>
  <c r="AZ20" i="7"/>
  <c r="Z10" i="7"/>
  <c r="AN8" i="7"/>
  <c r="AN16" i="7"/>
  <c r="BC16" i="7" s="1"/>
  <c r="AQ15" i="7"/>
  <c r="AN13" i="7"/>
  <c r="BC13" i="7" s="1"/>
  <c r="AQ14" i="7"/>
  <c r="BA14" i="7"/>
  <c r="AT5" i="7"/>
  <c r="AH3" i="7"/>
  <c r="AU23" i="7"/>
  <c r="AA21" i="7"/>
  <c r="AU20" i="7"/>
  <c r="AV14" i="7"/>
  <c r="AU15" i="7"/>
  <c r="AP14" i="7"/>
  <c r="AV12" i="7"/>
  <c r="AN11" i="7"/>
  <c r="AH10" i="7"/>
  <c r="AW10" i="7" s="1"/>
  <c r="Z9" i="7"/>
  <c r="AU9" i="7"/>
  <c r="AU6" i="7"/>
  <c r="AQ4" i="7"/>
  <c r="BF4" i="7" s="1"/>
  <c r="BA8" i="7"/>
  <c r="AQ8" i="7"/>
  <c r="AZ7" i="7"/>
  <c r="AS3" i="7"/>
  <c r="Y3" i="7"/>
  <c r="BB9" i="7"/>
  <c r="AY7" i="7"/>
  <c r="BA21" i="7"/>
  <c r="BA15" i="7"/>
  <c r="AZ14" i="7"/>
  <c r="BA9" i="7"/>
  <c r="AZ8" i="7"/>
  <c r="B2" i="7"/>
  <c r="BF56" i="7" l="1"/>
  <c r="BF40" i="7"/>
  <c r="BE34" i="7"/>
  <c r="BE23" i="7"/>
  <c r="BE45" i="7"/>
  <c r="BC39" i="7"/>
  <c r="BE28" i="7"/>
  <c r="BF54" i="7"/>
  <c r="BE36" i="7"/>
  <c r="AR18" i="7"/>
  <c r="BD53" i="7"/>
  <c r="AR25" i="7"/>
  <c r="BC60" i="7"/>
  <c r="BC50" i="7"/>
  <c r="BD8" i="7"/>
  <c r="BE11" i="7"/>
  <c r="BD30" i="7"/>
  <c r="BD36" i="7"/>
  <c r="BE48" i="7"/>
  <c r="BF51" i="7"/>
  <c r="BF16" i="7"/>
  <c r="BF23" i="7"/>
  <c r="AR11" i="7"/>
  <c r="BC28" i="7"/>
  <c r="BC3" i="7"/>
  <c r="BE30" i="7"/>
  <c r="AR23" i="7"/>
  <c r="AC58" i="7"/>
  <c r="AR16" i="7"/>
  <c r="BE10" i="7"/>
  <c r="AR20" i="7"/>
  <c r="BE46" i="7"/>
  <c r="BD10" i="7"/>
  <c r="BH10" i="7" s="1"/>
  <c r="BI10" i="7" s="1"/>
  <c r="BF28" i="7"/>
  <c r="BF5" i="7"/>
  <c r="AR37" i="7"/>
  <c r="BE54" i="7"/>
  <c r="BE53" i="7"/>
  <c r="AR4" i="7"/>
  <c r="BE9" i="7"/>
  <c r="BF11" i="7"/>
  <c r="AR58" i="7"/>
  <c r="BF39" i="7"/>
  <c r="BD59" i="7"/>
  <c r="AC57" i="7"/>
  <c r="AR44" i="7"/>
  <c r="BC40" i="7"/>
  <c r="AC39" i="7"/>
  <c r="AR38" i="7"/>
  <c r="AR56" i="7"/>
  <c r="BD21" i="7"/>
  <c r="AR59" i="7"/>
  <c r="BF10" i="7"/>
  <c r="AR8" i="7"/>
  <c r="AR53" i="7"/>
  <c r="AC19" i="7"/>
  <c r="AR13" i="7"/>
  <c r="BF9" i="7"/>
  <c r="AR31" i="7"/>
  <c r="AC43" i="7"/>
  <c r="BD43" i="7"/>
  <c r="AR55" i="7"/>
  <c r="BE31" i="7"/>
  <c r="BD56" i="7"/>
  <c r="BF45" i="7"/>
  <c r="BD32" i="7"/>
  <c r="BD16" i="7"/>
  <c r="BE42" i="7"/>
  <c r="AR40" i="7"/>
  <c r="BD33" i="7"/>
  <c r="AR32" i="7"/>
  <c r="BE50" i="7"/>
  <c r="AR9" i="7"/>
  <c r="BF12" i="7"/>
  <c r="BE8" i="7"/>
  <c r="BD60" i="7"/>
  <c r="BD55" i="7"/>
  <c r="BE29" i="7"/>
  <c r="BC33" i="7"/>
  <c r="AR28" i="7"/>
  <c r="BF55" i="7"/>
  <c r="BE37" i="7"/>
  <c r="AC4" i="7"/>
  <c r="AR27" i="7"/>
  <c r="BC20" i="7"/>
  <c r="AR21" i="7"/>
  <c r="AR29" i="7"/>
  <c r="AR48" i="7"/>
  <c r="AR24" i="7"/>
  <c r="AR34" i="7"/>
  <c r="AR15" i="7"/>
  <c r="AR52" i="7"/>
  <c r="AR54" i="7"/>
  <c r="BD29" i="7"/>
  <c r="BF17" i="7"/>
  <c r="AR36" i="7"/>
  <c r="AR7" i="7"/>
  <c r="BC32" i="7"/>
  <c r="AC37" i="7"/>
  <c r="BF15" i="7"/>
  <c r="BD50" i="7"/>
  <c r="AC3" i="7"/>
  <c r="AR6" i="7"/>
  <c r="BC51" i="7"/>
  <c r="BD54" i="7"/>
  <c r="BD22" i="7"/>
  <c r="AR46" i="7"/>
  <c r="BD45" i="7"/>
  <c r="BG45" i="7" s="1"/>
  <c r="AR57" i="7"/>
  <c r="BF19" i="7"/>
  <c r="BF36" i="7"/>
  <c r="BE60" i="7"/>
  <c r="AR26" i="7"/>
  <c r="BF44" i="7"/>
  <c r="BD20" i="7"/>
  <c r="AC44" i="7"/>
  <c r="BE21" i="7"/>
  <c r="BE22" i="7"/>
  <c r="BF41" i="7"/>
  <c r="AC42" i="7"/>
  <c r="BD44" i="7"/>
  <c r="BC15" i="7"/>
  <c r="AR17" i="7"/>
  <c r="BC24" i="7"/>
  <c r="BD17" i="7"/>
  <c r="AC46" i="7"/>
  <c r="BF33" i="7"/>
  <c r="BC41" i="7"/>
  <c r="AR41" i="7"/>
  <c r="BF22" i="7"/>
  <c r="BE25" i="7"/>
  <c r="AR47" i="7"/>
  <c r="BD48" i="7"/>
  <c r="AC25" i="7"/>
  <c r="BC11" i="7"/>
  <c r="BF18" i="7"/>
  <c r="AR30" i="7"/>
  <c r="BF27" i="7"/>
  <c r="BD39" i="7"/>
  <c r="BH39" i="7" s="1"/>
  <c r="BI39" i="7" s="1"/>
  <c r="BD26" i="7"/>
  <c r="BE12" i="7"/>
  <c r="BE51" i="7"/>
  <c r="BC18" i="7"/>
  <c r="BF46" i="7"/>
  <c r="BE26" i="7"/>
  <c r="BD57" i="7"/>
  <c r="BF52" i="7"/>
  <c r="BE39" i="7"/>
  <c r="BC48" i="7"/>
  <c r="BC23" i="7"/>
  <c r="BC27" i="7"/>
  <c r="BE43" i="7"/>
  <c r="BD40" i="7"/>
  <c r="AC52" i="7"/>
  <c r="AC51" i="7"/>
  <c r="AC56" i="7"/>
  <c r="BE55" i="7"/>
  <c r="AC45" i="7"/>
  <c r="AC28" i="7"/>
  <c r="AC10" i="7"/>
  <c r="AC7" i="7"/>
  <c r="AC11" i="7"/>
  <c r="BD18" i="7"/>
  <c r="BF32" i="7"/>
  <c r="BD49" i="7"/>
  <c r="AC49" i="7"/>
  <c r="AC24" i="7"/>
  <c r="AC26" i="7"/>
  <c r="BF26" i="7"/>
  <c r="BE32" i="7"/>
  <c r="BC9" i="7"/>
  <c r="BD51" i="7"/>
  <c r="BE27" i="7"/>
  <c r="BC43" i="7"/>
  <c r="BF59" i="7"/>
  <c r="BE41" i="7"/>
  <c r="BC47" i="7"/>
  <c r="BD5" i="7"/>
  <c r="BD47" i="7"/>
  <c r="BC54" i="7"/>
  <c r="AC32" i="7"/>
  <c r="AC60" i="7"/>
  <c r="AC50" i="7"/>
  <c r="AC40" i="7"/>
  <c r="BF29" i="7"/>
  <c r="BE38" i="7"/>
  <c r="BD35" i="7"/>
  <c r="AR39" i="7"/>
  <c r="BF30" i="7"/>
  <c r="AC34" i="7"/>
  <c r="BF8" i="7"/>
  <c r="BE14" i="7"/>
  <c r="BD19" i="7"/>
  <c r="BF57" i="7"/>
  <c r="AC9" i="7"/>
  <c r="AC23" i="7"/>
  <c r="BF48" i="7"/>
  <c r="AC55" i="7"/>
  <c r="AR49" i="7"/>
  <c r="BD42" i="7"/>
  <c r="BF42" i="7"/>
  <c r="AC36" i="7"/>
  <c r="BD38" i="7"/>
  <c r="BE13" i="7"/>
  <c r="BD31" i="7"/>
  <c r="BD11" i="7"/>
  <c r="AC27" i="7"/>
  <c r="AC17" i="7"/>
  <c r="BC35" i="7"/>
  <c r="BF37" i="7"/>
  <c r="AC48" i="7"/>
  <c r="BF49" i="7"/>
  <c r="AR60" i="7"/>
  <c r="BE47" i="7"/>
  <c r="AO3" i="7"/>
  <c r="AY3" i="7"/>
  <c r="AT3" i="7"/>
  <c r="BF24" i="7"/>
  <c r="BF25" i="7"/>
  <c r="AR10" i="7"/>
  <c r="BD12" i="7"/>
  <c r="AC21" i="7"/>
  <c r="BF53" i="7"/>
  <c r="BC34" i="7"/>
  <c r="BF43" i="7"/>
  <c r="BF31" i="7"/>
  <c r="BD58" i="7"/>
  <c r="BE18" i="7"/>
  <c r="BF35" i="7"/>
  <c r="AR45" i="7"/>
  <c r="BE5" i="7"/>
  <c r="BG4" i="7"/>
  <c r="BH4" i="7"/>
  <c r="BI4" i="7" s="1"/>
  <c r="AC14" i="7"/>
  <c r="AC15" i="7"/>
  <c r="BE15" i="7"/>
  <c r="AC12" i="7"/>
  <c r="BE44" i="7"/>
  <c r="BD24" i="7"/>
  <c r="BF34" i="7"/>
  <c r="BE56" i="7"/>
  <c r="AC54" i="7"/>
  <c r="AR14" i="7"/>
  <c r="AC41" i="7"/>
  <c r="BC53" i="7"/>
  <c r="BE57" i="7"/>
  <c r="BC31" i="7"/>
  <c r="AC47" i="7"/>
  <c r="BF14" i="7"/>
  <c r="BD25" i="7"/>
  <c r="BD27" i="7"/>
  <c r="BC46" i="7"/>
  <c r="AR43" i="7"/>
  <c r="BD15" i="7"/>
  <c r="BE49" i="7"/>
  <c r="AC31" i="7"/>
  <c r="BE58" i="7"/>
  <c r="BE6" i="7"/>
  <c r="BF6" i="7"/>
  <c r="BF20" i="7"/>
  <c r="AC20" i="7"/>
  <c r="BF13" i="7"/>
  <c r="AR50" i="7"/>
  <c r="BC8" i="7"/>
  <c r="AC16" i="7"/>
  <c r="BC5" i="7"/>
  <c r="BD28" i="7"/>
  <c r="BD34" i="7"/>
  <c r="BC12" i="7"/>
  <c r="AC29" i="7"/>
  <c r="AC33" i="7"/>
  <c r="BD37" i="7"/>
  <c r="BD46" i="7"/>
  <c r="BD52" i="7"/>
  <c r="BC44" i="7"/>
  <c r="AR51" i="7"/>
  <c r="BD6" i="7"/>
  <c r="BE7" i="7"/>
  <c r="AR12" i="7"/>
  <c r="BE33" i="7"/>
  <c r="BC36" i="7"/>
  <c r="BE59" i="7"/>
  <c r="BE20" i="7"/>
  <c r="AC6" i="7"/>
  <c r="BF7" i="7"/>
  <c r="AR22" i="7"/>
  <c r="AC13" i="7"/>
  <c r="BD23" i="7"/>
  <c r="BE17" i="7"/>
  <c r="BF21" i="7"/>
  <c r="BE19" i="7"/>
  <c r="AC35" i="7"/>
  <c r="AC38" i="7"/>
  <c r="BE35" i="7"/>
  <c r="AR33" i="7"/>
  <c r="BE40" i="7"/>
  <c r="BF58" i="7"/>
  <c r="AR35" i="7"/>
  <c r="BC49" i="7"/>
  <c r="AC59" i="7"/>
  <c r="AC53" i="7"/>
  <c r="BD13" i="7"/>
  <c r="BD7" i="7"/>
  <c r="AR5" i="7"/>
  <c r="BC21" i="7"/>
  <c r="AC8" i="7"/>
  <c r="BC6" i="7"/>
  <c r="AC22" i="7"/>
  <c r="BF38" i="7"/>
  <c r="AC18" i="7"/>
  <c r="AC30" i="7"/>
  <c r="BF50" i="7"/>
  <c r="BC30" i="7"/>
  <c r="BC57" i="7"/>
  <c r="BD41" i="7"/>
  <c r="BE52" i="7"/>
  <c r="E2" i="7"/>
  <c r="AI2" i="7"/>
  <c r="AX2" i="7" s="1"/>
  <c r="BH42" i="7" l="1"/>
  <c r="BI42" i="7" s="1"/>
  <c r="BG17" i="7"/>
  <c r="BG10" i="7"/>
  <c r="BG29" i="7"/>
  <c r="BG9" i="7"/>
  <c r="BH60" i="7"/>
  <c r="BI60" i="7" s="1"/>
  <c r="BG56" i="7"/>
  <c r="BG16" i="7"/>
  <c r="BG60" i="7"/>
  <c r="BG59" i="7"/>
  <c r="BH29" i="7"/>
  <c r="BI29" i="7" s="1"/>
  <c r="BG32" i="7"/>
  <c r="BG55" i="7"/>
  <c r="BH26" i="7"/>
  <c r="BI26" i="7" s="1"/>
  <c r="BH20" i="7"/>
  <c r="BI20" i="7" s="1"/>
  <c r="BG54" i="7"/>
  <c r="BG33" i="7"/>
  <c r="BG22" i="7"/>
  <c r="BH22" i="7"/>
  <c r="BI22" i="7" s="1"/>
  <c r="BH50" i="7"/>
  <c r="BI50" i="7" s="1"/>
  <c r="BG37" i="7"/>
  <c r="BH11" i="7"/>
  <c r="BI11" i="7" s="1"/>
  <c r="BH45" i="7"/>
  <c r="BI45" i="7" s="1"/>
  <c r="BG40" i="7"/>
  <c r="BG24" i="7"/>
  <c r="BG26" i="7"/>
  <c r="BH25" i="7"/>
  <c r="BI25" i="7" s="1"/>
  <c r="BH55" i="7"/>
  <c r="BI55" i="7" s="1"/>
  <c r="BG48" i="7"/>
  <c r="BH51" i="7"/>
  <c r="BI51" i="7" s="1"/>
  <c r="BG39" i="7"/>
  <c r="BH43" i="7"/>
  <c r="BI43" i="7" s="1"/>
  <c r="BH48" i="7"/>
  <c r="BI48" i="7" s="1"/>
  <c r="BH23" i="7"/>
  <c r="BI23" i="7" s="1"/>
  <c r="BG18" i="7"/>
  <c r="BG35" i="7"/>
  <c r="BG27" i="7"/>
  <c r="BG19" i="7"/>
  <c r="BG43" i="7"/>
  <c r="BG51" i="7"/>
  <c r="BG58" i="7"/>
  <c r="BG38" i="7"/>
  <c r="BH9" i="7"/>
  <c r="BI9" i="7" s="1"/>
  <c r="BH32" i="7"/>
  <c r="BI32" i="7" s="1"/>
  <c r="BG41" i="7"/>
  <c r="BG47" i="7"/>
  <c r="BH38" i="7"/>
  <c r="BI38" i="7" s="1"/>
  <c r="BH19" i="7"/>
  <c r="BI19" i="7" s="1"/>
  <c r="BH54" i="7"/>
  <c r="BI54" i="7" s="1"/>
  <c r="BH17" i="7"/>
  <c r="BI17" i="7" s="1"/>
  <c r="BG14" i="7"/>
  <c r="BG42" i="7"/>
  <c r="BH47" i="7"/>
  <c r="BI47" i="7" s="1"/>
  <c r="BG15" i="7"/>
  <c r="BH37" i="7"/>
  <c r="BI37" i="7" s="1"/>
  <c r="BH56" i="7"/>
  <c r="BI56" i="7" s="1"/>
  <c r="BH24" i="7"/>
  <c r="BI24" i="7" s="1"/>
  <c r="BH27" i="7"/>
  <c r="BI27" i="7" s="1"/>
  <c r="BH18" i="7"/>
  <c r="BI18" i="7" s="1"/>
  <c r="BH58" i="7"/>
  <c r="BI58" i="7" s="1"/>
  <c r="BG25" i="7"/>
  <c r="BH13" i="7"/>
  <c r="BI13" i="7" s="1"/>
  <c r="BG11" i="7"/>
  <c r="BG20" i="7"/>
  <c r="BH16" i="7"/>
  <c r="BI16" i="7" s="1"/>
  <c r="BH15" i="7"/>
  <c r="BI15" i="7" s="1"/>
  <c r="AV3" i="7"/>
  <c r="BA3" i="7"/>
  <c r="AQ3" i="7"/>
  <c r="BD3" i="7"/>
  <c r="BG46" i="7"/>
  <c r="BH46" i="7"/>
  <c r="BI46" i="7" s="1"/>
  <c r="BG5" i="7"/>
  <c r="BH5" i="7"/>
  <c r="BI5" i="7" s="1"/>
  <c r="BG31" i="7"/>
  <c r="BH31" i="7"/>
  <c r="BI31" i="7" s="1"/>
  <c r="BG44" i="7"/>
  <c r="BH44" i="7"/>
  <c r="BI44" i="7" s="1"/>
  <c r="BG34" i="7"/>
  <c r="BH34" i="7"/>
  <c r="BI34" i="7" s="1"/>
  <c r="BG8" i="7"/>
  <c r="BH8" i="7"/>
  <c r="BI8" i="7" s="1"/>
  <c r="BG49" i="7"/>
  <c r="BH49" i="7"/>
  <c r="BI49" i="7" s="1"/>
  <c r="BG36" i="7"/>
  <c r="BH36" i="7"/>
  <c r="BI36" i="7" s="1"/>
  <c r="BG57" i="7"/>
  <c r="BH57" i="7"/>
  <c r="BI57" i="7" s="1"/>
  <c r="BH53" i="7"/>
  <c r="BI53" i="7" s="1"/>
  <c r="BG53" i="7"/>
  <c r="BH59" i="7"/>
  <c r="BI59" i="7" s="1"/>
  <c r="BG23" i="7"/>
  <c r="BG7" i="7"/>
  <c r="BH7" i="7"/>
  <c r="BI7" i="7" s="1"/>
  <c r="BG6" i="7"/>
  <c r="BH6" i="7"/>
  <c r="BI6" i="7" s="1"/>
  <c r="BG50" i="7"/>
  <c r="BH41" i="7"/>
  <c r="BI41" i="7" s="1"/>
  <c r="BG13" i="7"/>
  <c r="BH14" i="7"/>
  <c r="BI14" i="7" s="1"/>
  <c r="BH40" i="7"/>
  <c r="BI40" i="7" s="1"/>
  <c r="BG12" i="7"/>
  <c r="BH12" i="7"/>
  <c r="BI12" i="7" s="1"/>
  <c r="BH33" i="7"/>
  <c r="BI33" i="7" s="1"/>
  <c r="BH30" i="7"/>
  <c r="BI30" i="7" s="1"/>
  <c r="BG30" i="7"/>
  <c r="BG52" i="7"/>
  <c r="BH52" i="7"/>
  <c r="BI52" i="7" s="1"/>
  <c r="BH35" i="7"/>
  <c r="BI35" i="7" s="1"/>
  <c r="BG21" i="7"/>
  <c r="BH21" i="7"/>
  <c r="BI21" i="7" s="1"/>
  <c r="BG28" i="7"/>
  <c r="BH28" i="7"/>
  <c r="BI28" i="7" s="1"/>
  <c r="AL2" i="7"/>
  <c r="BA2" i="7" s="1"/>
  <c r="AJ2" i="7"/>
  <c r="AY2" i="7" s="1"/>
  <c r="AK2" i="7"/>
  <c r="AZ2" i="7" s="1"/>
  <c r="AE2" i="7"/>
  <c r="AT2" i="7" s="1"/>
  <c r="AF2" i="7"/>
  <c r="AU2" i="7" s="1"/>
  <c r="AG2" i="7"/>
  <c r="AV2" i="7" s="1"/>
  <c r="AD2" i="7"/>
  <c r="BF3" i="7" l="1"/>
  <c r="AS2" i="7"/>
  <c r="AH2" i="7"/>
  <c r="AW2" i="7" s="1"/>
  <c r="AM2" i="7"/>
  <c r="BB2" i="7" s="1"/>
  <c r="U2" i="7"/>
  <c r="V2" i="7"/>
  <c r="W2" i="7"/>
  <c r="T2" i="7"/>
  <c r="P2" i="7"/>
  <c r="Q2" i="7"/>
  <c r="R2" i="7"/>
  <c r="O2" i="7"/>
  <c r="K2" i="7"/>
  <c r="L2" i="7"/>
  <c r="M2" i="7"/>
  <c r="J2" i="7"/>
  <c r="F2" i="7"/>
  <c r="G2" i="7"/>
  <c r="H2" i="7"/>
  <c r="X2" i="7" l="1"/>
  <c r="BB3" i="7"/>
  <c r="AR3" i="7"/>
  <c r="AW3" i="7"/>
  <c r="AP3" i="7"/>
  <c r="AZ3" i="7"/>
  <c r="AU3" i="7"/>
  <c r="N2" i="7"/>
  <c r="AP2" i="7"/>
  <c r="BE2" i="7" s="1"/>
  <c r="AQ2" i="7"/>
  <c r="BF2" i="7" s="1"/>
  <c r="AO2" i="7"/>
  <c r="BD2" i="7" s="1"/>
  <c r="I2" i="7"/>
  <c r="S2" i="7"/>
  <c r="AN2" i="7"/>
  <c r="BC2" i="7" s="1"/>
  <c r="Y2" i="7"/>
  <c r="Z2" i="7"/>
  <c r="AB2" i="7"/>
  <c r="AA2" i="7"/>
  <c r="BH2" i="7" l="1"/>
  <c r="BE3" i="7"/>
  <c r="BI2" i="7"/>
  <c r="BG2" i="7"/>
  <c r="AC2" i="7"/>
  <c r="AR2" i="7"/>
  <c r="BG3" i="7" l="1"/>
  <c r="BH3" i="7"/>
  <c r="BI3" i="7" s="1"/>
</calcChain>
</file>

<file path=xl/sharedStrings.xml><?xml version="1.0" encoding="utf-8"?>
<sst xmlns="http://schemas.openxmlformats.org/spreadsheetml/2006/main" count="94" uniqueCount="67">
  <si>
    <t>Roll No</t>
  </si>
  <si>
    <t>Name</t>
  </si>
  <si>
    <t>English</t>
  </si>
  <si>
    <t>Bengali</t>
  </si>
  <si>
    <t>G Maths</t>
  </si>
  <si>
    <t>Roll</t>
  </si>
  <si>
    <t>Class</t>
  </si>
  <si>
    <t>English unit 1</t>
  </si>
  <si>
    <t>Bengali unit 1</t>
  </si>
  <si>
    <t>G maths unit 1</t>
  </si>
  <si>
    <t>S Science unit 1</t>
  </si>
  <si>
    <t>Total Unit 1</t>
  </si>
  <si>
    <t>English unit 2</t>
  </si>
  <si>
    <t>Bengali unit 2</t>
  </si>
  <si>
    <t>G maths unit 2</t>
  </si>
  <si>
    <t>S Science unit 2</t>
  </si>
  <si>
    <t>Total Unit 2</t>
  </si>
  <si>
    <t>English unit 3</t>
  </si>
  <si>
    <t>Bengali unit 3</t>
  </si>
  <si>
    <t>G maths unit 3</t>
  </si>
  <si>
    <t>S Science unit 3</t>
  </si>
  <si>
    <t>Total Unit 3</t>
  </si>
  <si>
    <t>English unit 4</t>
  </si>
  <si>
    <t>Bengali unit 4</t>
  </si>
  <si>
    <t>G maths unit 4</t>
  </si>
  <si>
    <t>S Science unit 4</t>
  </si>
  <si>
    <t>Total Unit 4</t>
  </si>
  <si>
    <t>English Total</t>
  </si>
  <si>
    <t>Bengali Total</t>
  </si>
  <si>
    <t>G maths Total</t>
  </si>
  <si>
    <t>S Science Total</t>
  </si>
  <si>
    <t>Total Total</t>
  </si>
  <si>
    <t>English Helf</t>
  </si>
  <si>
    <t>Bengali Helf</t>
  </si>
  <si>
    <t>G maths Helf</t>
  </si>
  <si>
    <t>S Science Helf</t>
  </si>
  <si>
    <t>Total Helf</t>
  </si>
  <si>
    <t>English 20 % of Unit test</t>
  </si>
  <si>
    <t>Bengali 20% of unit test</t>
  </si>
  <si>
    <t>Gen Math 20% of unit test</t>
  </si>
  <si>
    <t>S Science 20% of unit test</t>
  </si>
  <si>
    <t>Total of 20 % of unit test</t>
  </si>
  <si>
    <t>English 30 % of halfyearly</t>
  </si>
  <si>
    <t>Bengali 30% of halfyearly</t>
  </si>
  <si>
    <t>Gen Math 30% of halfyearly</t>
  </si>
  <si>
    <t>S Science 30% of halyearly</t>
  </si>
  <si>
    <t>Total of 30 % of half</t>
  </si>
  <si>
    <t>English 50 % of Annual</t>
  </si>
  <si>
    <t>Bengali 50% of Annual</t>
  </si>
  <si>
    <t>Gen Math 50% of Annual</t>
  </si>
  <si>
    <t>S Science 50% of Annual</t>
  </si>
  <si>
    <t>Total of 50% of Annual Exam</t>
  </si>
  <si>
    <t>English Grand total</t>
  </si>
  <si>
    <t>Bengali Grand total</t>
  </si>
  <si>
    <t>Gen Math grand total</t>
  </si>
  <si>
    <t>S Science Grand total</t>
  </si>
  <si>
    <t>Total of Grand Total</t>
  </si>
  <si>
    <t>Percentage</t>
  </si>
  <si>
    <t>Grade</t>
  </si>
  <si>
    <t>English Annual</t>
  </si>
  <si>
    <t>Bengali Annual</t>
  </si>
  <si>
    <t>G maths Annual</t>
  </si>
  <si>
    <t>S Science Annual</t>
  </si>
  <si>
    <t>Total Annual</t>
  </si>
  <si>
    <t>New Roll</t>
  </si>
  <si>
    <t>GK &amp; Dr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</si>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</sst>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i/>
      <sz val="14"/>
      <color theme="1"/>
      <name val="Bahnschrift SemiBold"/>
      <family val="2"/>
    </font>
    <font>
      <b/>
      <i/>
      <sz val="14"/>
      <color theme="4" tint="-0.249977111117893"/>
      <name val="Bahnschrift SemiBold"/>
      <family val="2"/>
    </font>
    <font>
      <b/>
      <i/>
      <sz val="14"/>
      <color rgb="FFFF0000"/>
      <name val="Bahnschrift SemiBold"/>
      <family val="2"/>
    </font>
    <font>
      <b/>
      <i/>
      <sz val="14"/>
      <color theme="1" tint="4.9989318521683403E-2"/>
      <name val="Bahnschrift SemiBold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11" borderId="0" xfId="0" applyFont="1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9" fillId="9" borderId="1" xfId="0" applyFont="1" applyFill="1" applyBorder="1" applyAlignment="1" applyProtection="1">
      <alignment horizontal="center"/>
      <protection locked="0"/>
    </xf>
    <xf numFmtId="0" fontId="6" fillId="0" borderId="0" xfId="0" applyFont="1" applyBorder="1" applyAlignment="1" applyProtection="1">
      <alignment horizontal="center"/>
      <protection locked="0"/>
    </xf>
    <xf numFmtId="0" fontId="6" fillId="0" borderId="0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G61"/>
  <sheetViews>
    <sheetView zoomScale="130" zoomScaleNormal="130" workbookViewId="0">
      <selection activeCell="A2" sqref="A2:F2"/>
    </sheetView>
  </sheetViews>
  <sheetFormatPr defaultRowHeight="14.4" x14ac:dyDescent="0.3"/>
  <cols>
    <col min="1" max="1" width="9.5546875" style="4" bestFit="1" customWidth="1"/>
    <col min="2" max="2" width="23" bestFit="1" customWidth="1"/>
    <col min="3" max="3" width="9.44140625" style="4" bestFit="1" customWidth="1"/>
    <col min="4" max="4" width="9.88671875" style="4" bestFit="1" customWidth="1"/>
    <col min="5" max="5" width="10.88671875" style="4" bestFit="1" customWidth="1"/>
    <col min="6" max="6" width="10.44140625" style="4" bestFit="1" customWidth="1"/>
    <col min="7" max="7" width="7.21875" style="4" bestFit="1" customWidth="1"/>
  </cols>
  <sheetData>
    <row r="1" spans="1:7" s="18" customFormat="1" ht="18" x14ac:dyDescent="0.35">
      <c r="A1" s="17" t="s">
        <v>0</v>
      </c>
      <c r="B1" s="18" t="s">
        <v>1</v>
      </c>
      <c r="C1" s="17" t="s">
        <v>2</v>
      </c>
      <c r="D1" s="17" t="s">
        <v>3</v>
      </c>
      <c r="E1" s="17" t="s">
        <v>4</v>
      </c>
      <c r="F1" s="17" t="s">
        <v>65</v>
      </c>
      <c r="G1" s="17" t="s">
        <v>6</v>
      </c>
    </row>
    <row r="2" spans="1:7" ht="18" x14ac:dyDescent="0.35">
      <c r="G2" s="17" t="s">
        <v>66</v>
      </c>
    </row>
    <row r="3" spans="1:7" ht="18" x14ac:dyDescent="0.35">
      <c r="G3" s="17"/>
    </row>
    <row r="4" spans="1:7" ht="18" x14ac:dyDescent="0.35">
      <c r="G4" s="17"/>
    </row>
    <row r="5" spans="1:7" ht="18" x14ac:dyDescent="0.35">
      <c r="G5" s="17"/>
    </row>
    <row r="6" spans="1:7" ht="18" x14ac:dyDescent="0.35">
      <c r="G6" s="17"/>
    </row>
    <row r="7" spans="1:7" ht="18" x14ac:dyDescent="0.35">
      <c r="G7" s="17"/>
    </row>
    <row r="8" spans="1:7" ht="18" x14ac:dyDescent="0.35">
      <c r="G8" s="17"/>
    </row>
    <row r="9" spans="1:7" ht="18" x14ac:dyDescent="0.35">
      <c r="G9" s="17"/>
    </row>
    <row r="10" spans="1:7" ht="18" x14ac:dyDescent="0.35">
      <c r="G10" s="17"/>
    </row>
    <row r="11" spans="1:7" ht="18" x14ac:dyDescent="0.35">
      <c r="G11" s="17"/>
    </row>
    <row r="12" spans="1:7" ht="18" x14ac:dyDescent="0.35">
      <c r="G12" s="17"/>
    </row>
    <row r="13" spans="1:7" ht="18" x14ac:dyDescent="0.35">
      <c r="G13" s="17"/>
    </row>
    <row r="14" spans="1:7" ht="18" x14ac:dyDescent="0.35">
      <c r="G14" s="17"/>
    </row>
    <row r="15" spans="1:7" ht="18" x14ac:dyDescent="0.35">
      <c r="G15" s="17"/>
    </row>
    <row r="16" spans="1:7" ht="18" x14ac:dyDescent="0.35">
      <c r="G16" s="17"/>
    </row>
    <row r="17" spans="7:7" ht="18" x14ac:dyDescent="0.35">
      <c r="G17" s="17"/>
    </row>
    <row r="18" spans="7:7" ht="18" x14ac:dyDescent="0.35">
      <c r="G18" s="17"/>
    </row>
    <row r="19" spans="7:7" ht="18" x14ac:dyDescent="0.35">
      <c r="G19" s="17"/>
    </row>
    <row r="20" spans="7:7" ht="18" x14ac:dyDescent="0.35">
      <c r="G20" s="17"/>
    </row>
    <row r="21" spans="7:7" ht="18" x14ac:dyDescent="0.35">
      <c r="G21" s="17"/>
    </row>
    <row r="22" spans="7:7" ht="18" x14ac:dyDescent="0.35">
      <c r="G22" s="17"/>
    </row>
    <row r="23" spans="7:7" ht="18" x14ac:dyDescent="0.35">
      <c r="G23" s="17"/>
    </row>
    <row r="24" spans="7:7" ht="18" x14ac:dyDescent="0.35">
      <c r="G24" s="17"/>
    </row>
    <row r="25" spans="7:7" ht="18" x14ac:dyDescent="0.35">
      <c r="G25" s="17"/>
    </row>
    <row r="26" spans="7:7" ht="18" x14ac:dyDescent="0.35">
      <c r="G26" s="17"/>
    </row>
    <row r="27" spans="7:7" ht="18" x14ac:dyDescent="0.35">
      <c r="G27" s="17"/>
    </row>
    <row r="28" spans="7:7" ht="18" x14ac:dyDescent="0.35">
      <c r="G28" s="17"/>
    </row>
    <row r="29" spans="7:7" ht="18" x14ac:dyDescent="0.35">
      <c r="G29" s="17"/>
    </row>
    <row r="30" spans="7:7" ht="18" x14ac:dyDescent="0.35">
      <c r="G30" s="17"/>
    </row>
    <row r="31" spans="7:7" ht="18" x14ac:dyDescent="0.35">
      <c r="G31" s="17"/>
    </row>
    <row r="32" spans="7:7" ht="18" x14ac:dyDescent="0.35">
      <c r="G32" s="17"/>
    </row>
    <row r="33" spans="7:7" ht="18" x14ac:dyDescent="0.35">
      <c r="G33" s="17"/>
    </row>
    <row r="34" spans="7:7" ht="18" x14ac:dyDescent="0.35">
      <c r="G34" s="17"/>
    </row>
    <row r="35" spans="7:7" ht="18" x14ac:dyDescent="0.35">
      <c r="G35" s="17"/>
    </row>
    <row r="36" spans="7:7" ht="18" x14ac:dyDescent="0.35">
      <c r="G36" s="17"/>
    </row>
    <row r="37" spans="7:7" ht="18" x14ac:dyDescent="0.35">
      <c r="G37" s="17"/>
    </row>
    <row r="38" spans="7:7" ht="18" x14ac:dyDescent="0.35">
      <c r="G38" s="17"/>
    </row>
    <row r="39" spans="7:7" ht="18" x14ac:dyDescent="0.35">
      <c r="G39" s="17"/>
    </row>
    <row r="40" spans="7:7" ht="18" x14ac:dyDescent="0.35">
      <c r="G40" s="17"/>
    </row>
    <row r="41" spans="7:7" ht="18" x14ac:dyDescent="0.35">
      <c r="G41" s="17"/>
    </row>
    <row r="42" spans="7:7" ht="18" x14ac:dyDescent="0.35">
      <c r="G42" s="17"/>
    </row>
    <row r="43" spans="7:7" ht="18" x14ac:dyDescent="0.35">
      <c r="G43" s="17"/>
    </row>
    <row r="44" spans="7:7" ht="18" x14ac:dyDescent="0.35">
      <c r="G44" s="17"/>
    </row>
    <row r="45" spans="7:7" ht="18" x14ac:dyDescent="0.35">
      <c r="G45" s="17"/>
    </row>
    <row r="46" spans="7:7" ht="18" x14ac:dyDescent="0.35">
      <c r="G46" s="17"/>
    </row>
    <row r="47" spans="7:7" ht="18" x14ac:dyDescent="0.35">
      <c r="G47" s="17"/>
    </row>
    <row r="48" spans="7:7" ht="18" x14ac:dyDescent="0.35">
      <c r="G48" s="17"/>
    </row>
    <row r="49" spans="7:7" ht="18" x14ac:dyDescent="0.35">
      <c r="G49" s="17"/>
    </row>
    <row r="50" spans="7:7" ht="18" x14ac:dyDescent="0.35">
      <c r="G50" s="17"/>
    </row>
    <row r="51" spans="7:7" ht="18" x14ac:dyDescent="0.35">
      <c r="G51" s="17"/>
    </row>
    <row r="52" spans="7:7" ht="18" x14ac:dyDescent="0.35">
      <c r="G52" s="17"/>
    </row>
    <row r="53" spans="7:7" ht="18" x14ac:dyDescent="0.35">
      <c r="G53" s="17"/>
    </row>
    <row r="54" spans="7:7" ht="18" x14ac:dyDescent="0.35">
      <c r="G54" s="17"/>
    </row>
    <row r="55" spans="7:7" ht="18" x14ac:dyDescent="0.35">
      <c r="G55" s="17"/>
    </row>
    <row r="56" spans="7:7" ht="18" x14ac:dyDescent="0.35">
      <c r="G56" s="17"/>
    </row>
    <row r="57" spans="7:7" ht="18" x14ac:dyDescent="0.35">
      <c r="G57" s="17"/>
    </row>
    <row r="58" spans="7:7" ht="18" x14ac:dyDescent="0.35">
      <c r="G58" s="17"/>
    </row>
    <row r="59" spans="7:7" ht="18" x14ac:dyDescent="0.35">
      <c r="G59" s="17"/>
    </row>
    <row r="60" spans="7:7" ht="18" x14ac:dyDescent="0.35">
      <c r="G60" s="17"/>
    </row>
    <row r="61" spans="7:7" ht="18" x14ac:dyDescent="0.35">
      <c r="G61" s="17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F2"/>
  <sheetViews>
    <sheetView zoomScale="115" zoomScaleNormal="115" workbookViewId="0">
      <selection activeCell="B2" sqref="B2:E2"/>
    </sheetView>
  </sheetViews>
  <sheetFormatPr defaultRowHeight="14.4" x14ac:dyDescent="0.3"/>
  <cols>
    <col min="1" max="1" width="9.88671875" style="5" bestFit="1" customWidth="1"/>
    <col min="2" max="2" width="9.77734375" style="4" bestFit="1" customWidth="1"/>
    <col min="3" max="3" width="10.109375" style="4" bestFit="1" customWidth="1"/>
    <col min="4" max="4" width="11.21875" style="4" bestFit="1" customWidth="1"/>
    <col min="5" max="5" width="10.77734375" style="4" bestFit="1" customWidth="1"/>
    <col min="6" max="6" width="15.5546875" style="4" bestFit="1" customWidth="1"/>
  </cols>
  <sheetData>
    <row r="1" spans="1:6" s="1" customFormat="1" ht="18" x14ac:dyDescent="0.35">
      <c r="A1" s="19" t="s">
        <v>0</v>
      </c>
      <c r="B1" s="17" t="s">
        <v>2</v>
      </c>
      <c r="C1" s="17" t="s">
        <v>3</v>
      </c>
      <c r="D1" s="17" t="s">
        <v>4</v>
      </c>
      <c r="E1" s="17" t="s">
        <v>65</v>
      </c>
      <c r="F1" s="17"/>
    </row>
    <row r="2" spans="1:6" ht="18" x14ac:dyDescent="0.35">
      <c r="A2" s="5">
        <f>'Unit 1'!A2</f>
        <v>0</v>
      </c>
      <c r="F2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F2"/>
  <sheetViews>
    <sheetView zoomScale="115" zoomScaleNormal="115" workbookViewId="0">
      <selection activeCell="B2" sqref="B2:E2"/>
    </sheetView>
  </sheetViews>
  <sheetFormatPr defaultRowHeight="14.4" x14ac:dyDescent="0.3"/>
  <cols>
    <col min="1" max="1" width="9.88671875" style="4" bestFit="1" customWidth="1"/>
    <col min="2" max="2" width="9.77734375" style="4" bestFit="1" customWidth="1"/>
    <col min="3" max="3" width="10.109375" style="4" bestFit="1" customWidth="1"/>
    <col min="4" max="4" width="11.21875" style="4" bestFit="1" customWidth="1"/>
    <col min="5" max="5" width="10.77734375" style="4" bestFit="1" customWidth="1"/>
    <col min="6" max="6" width="8.88671875" style="4"/>
  </cols>
  <sheetData>
    <row r="1" spans="1:6" s="2" customFormat="1" ht="18" x14ac:dyDescent="0.35">
      <c r="A1" s="17" t="s">
        <v>0</v>
      </c>
      <c r="B1" s="17" t="s">
        <v>2</v>
      </c>
      <c r="C1" s="17" t="s">
        <v>3</v>
      </c>
      <c r="D1" s="17" t="s">
        <v>4</v>
      </c>
      <c r="E1" s="17" t="s">
        <v>65</v>
      </c>
      <c r="F1" s="3"/>
    </row>
    <row r="2" spans="1:6" x14ac:dyDescent="0.3">
      <c r="A2" s="4">
        <f>'Unit 1'!A2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F2"/>
  <sheetViews>
    <sheetView zoomScaleNormal="100" workbookViewId="0">
      <selection activeCell="B2" sqref="B2:E2"/>
    </sheetView>
  </sheetViews>
  <sheetFormatPr defaultRowHeight="14.4" x14ac:dyDescent="0.3"/>
  <cols>
    <col min="1" max="1" width="9.5546875" style="4" bestFit="1" customWidth="1"/>
    <col min="2" max="2" width="9.44140625" style="4" bestFit="1" customWidth="1"/>
    <col min="3" max="3" width="9.88671875" style="4" bestFit="1" customWidth="1"/>
    <col min="4" max="4" width="10.88671875" style="4" bestFit="1" customWidth="1"/>
    <col min="5" max="5" width="10.44140625" style="4" bestFit="1" customWidth="1"/>
    <col min="6" max="6" width="8.88671875" style="4"/>
  </cols>
  <sheetData>
    <row r="1" spans="1:6" s="20" customFormat="1" ht="18" x14ac:dyDescent="0.35">
      <c r="A1" s="17" t="s">
        <v>0</v>
      </c>
      <c r="B1" s="17" t="s">
        <v>2</v>
      </c>
      <c r="C1" s="17" t="s">
        <v>3</v>
      </c>
      <c r="D1" s="17" t="s">
        <v>4</v>
      </c>
      <c r="E1" s="17" t="s">
        <v>65</v>
      </c>
      <c r="F1" s="17"/>
    </row>
    <row r="2" spans="1:6" x14ac:dyDescent="0.3">
      <c r="A2" s="4">
        <f>'Unit 1'!A2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F2"/>
  <sheetViews>
    <sheetView zoomScaleNormal="100" workbookViewId="0">
      <selection activeCell="B2" sqref="B2:E2"/>
    </sheetView>
  </sheetViews>
  <sheetFormatPr defaultRowHeight="14.4" x14ac:dyDescent="0.3"/>
  <cols>
    <col min="1" max="1" width="9.5546875" style="4" bestFit="1" customWidth="1"/>
    <col min="2" max="2" width="9.44140625" style="4" bestFit="1" customWidth="1"/>
    <col min="3" max="3" width="9.88671875" style="4" bestFit="1" customWidth="1"/>
    <col min="4" max="4" width="10.88671875" style="4" bestFit="1" customWidth="1"/>
    <col min="5" max="5" width="10.44140625" style="4" bestFit="1" customWidth="1"/>
    <col min="6" max="6" width="8.88671875" style="4"/>
  </cols>
  <sheetData>
    <row r="1" spans="1:6" s="20" customFormat="1" ht="18" x14ac:dyDescent="0.35">
      <c r="A1" s="17" t="s">
        <v>0</v>
      </c>
      <c r="B1" s="17" t="s">
        <v>2</v>
      </c>
      <c r="C1" s="17" t="s">
        <v>3</v>
      </c>
      <c r="D1" s="17" t="s">
        <v>4</v>
      </c>
      <c r="E1" s="17" t="s">
        <v>65</v>
      </c>
      <c r="F1" s="17"/>
    </row>
    <row r="2" spans="1:6" x14ac:dyDescent="0.3">
      <c r="A2" s="4">
        <f>'Unit 1'!A2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F2"/>
  <sheetViews>
    <sheetView tabSelected="1" zoomScaleNormal="100" workbookViewId="0">
      <selection activeCell="A3" sqref="A3"/>
    </sheetView>
  </sheetViews>
  <sheetFormatPr defaultRowHeight="14.4" x14ac:dyDescent="0.3"/>
  <cols>
    <col min="1" max="1" width="9.5546875" style="4" bestFit="1" customWidth="1"/>
    <col min="2" max="2" width="9.44140625" style="4" bestFit="1" customWidth="1"/>
    <col min="3" max="3" width="9.88671875" style="4" bestFit="1" customWidth="1"/>
    <col min="4" max="4" width="10.88671875" style="4" bestFit="1" customWidth="1"/>
    <col min="5" max="5" width="10.44140625" style="4" bestFit="1" customWidth="1"/>
    <col min="6" max="6" width="8.88671875" style="4" bestFit="1" customWidth="1"/>
  </cols>
  <sheetData>
    <row r="1" spans="1:6" s="2" customFormat="1" ht="18" x14ac:dyDescent="0.35">
      <c r="A1" s="17" t="s">
        <v>0</v>
      </c>
      <c r="B1" s="17" t="s">
        <v>2</v>
      </c>
      <c r="C1" s="17" t="s">
        <v>3</v>
      </c>
      <c r="D1" s="17" t="s">
        <v>4</v>
      </c>
      <c r="E1" s="17" t="s">
        <v>65</v>
      </c>
      <c r="F1" s="17"/>
    </row>
    <row r="2" spans="1:6" x14ac:dyDescent="0.3">
      <c r="A2" s="4">
        <f>'Unit 1'!A2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J8159"/>
  <sheetViews>
    <sheetView zoomScale="160" zoomScaleNormal="160" workbookViewId="0">
      <selection activeCell="D3" sqref="D3"/>
    </sheetView>
  </sheetViews>
  <sheetFormatPr defaultColWidth="8.88671875" defaultRowHeight="14.4" x14ac:dyDescent="0.3"/>
  <cols>
    <col min="1" max="1" width="12.77734375" style="12" bestFit="1" customWidth="1"/>
    <col min="2" max="2" width="6.88671875" style="12" bestFit="1" customWidth="1"/>
    <col min="3" max="3" width="23" style="12" bestFit="1" customWidth="1"/>
    <col min="4" max="4" width="8.5546875" style="12" bestFit="1" customWidth="1"/>
    <col min="5" max="5" width="17.6640625" style="12" bestFit="1" customWidth="1"/>
    <col min="6" max="6" width="17.88671875" style="12" bestFit="1" customWidth="1"/>
    <col min="7" max="7" width="18.77734375" style="12" bestFit="1" customWidth="1"/>
    <col min="8" max="8" width="20.5546875" style="12" bestFit="1" customWidth="1"/>
    <col min="9" max="9" width="15.109375" style="13" bestFit="1" customWidth="1"/>
    <col min="10" max="10" width="18" style="12" bestFit="1" customWidth="1"/>
    <col min="11" max="11" width="18.33203125" style="12" bestFit="1" customWidth="1"/>
    <col min="12" max="12" width="19.21875" style="12" bestFit="1" customWidth="1"/>
    <col min="13" max="13" width="20.88671875" style="12" bestFit="1" customWidth="1"/>
    <col min="14" max="14" width="15.5546875" style="14" bestFit="1" customWidth="1"/>
    <col min="15" max="15" width="18.109375" style="12" bestFit="1" customWidth="1"/>
    <col min="16" max="16" width="18.44140625" style="12" bestFit="1" customWidth="1"/>
    <col min="17" max="17" width="19.33203125" style="12" bestFit="1" customWidth="1"/>
    <col min="18" max="18" width="21" style="12" bestFit="1" customWidth="1"/>
    <col min="19" max="19" width="15.6640625" style="15" bestFit="1" customWidth="1"/>
    <col min="20" max="20" width="18.109375" style="12" bestFit="1" customWidth="1"/>
    <col min="21" max="21" width="18.44140625" style="12" bestFit="1" customWidth="1"/>
    <col min="22" max="22" width="19.33203125" style="12" bestFit="1" customWidth="1"/>
    <col min="23" max="23" width="21" style="12" bestFit="1" customWidth="1"/>
    <col min="24" max="24" width="15.6640625" style="14" bestFit="1" customWidth="1"/>
    <col min="25" max="25" width="17.44140625" style="12" bestFit="1" customWidth="1"/>
    <col min="26" max="26" width="17.77734375" style="12" bestFit="1" customWidth="1"/>
    <col min="27" max="27" width="18.6640625" style="12" bestFit="1" customWidth="1"/>
    <col min="28" max="28" width="20.33203125" style="12" bestFit="1" customWidth="1"/>
    <col min="29" max="29" width="14.77734375" style="12" bestFit="1" customWidth="1"/>
    <col min="30" max="30" width="16.44140625" style="12" bestFit="1" customWidth="1"/>
    <col min="31" max="31" width="16.6640625" style="12" bestFit="1" customWidth="1"/>
    <col min="32" max="32" width="17.44140625" style="12" bestFit="1" customWidth="1"/>
    <col min="33" max="33" width="19.33203125" style="12" bestFit="1" customWidth="1"/>
    <col min="34" max="34" width="13.5546875" style="12" bestFit="1" customWidth="1"/>
    <col min="35" max="35" width="20" style="12" bestFit="1" customWidth="1"/>
    <col min="36" max="36" width="20.21875" style="12" bestFit="1" customWidth="1"/>
    <col min="37" max="37" width="21" style="12" bestFit="1" customWidth="1"/>
    <col min="38" max="38" width="22.77734375" style="12" bestFit="1" customWidth="1"/>
    <col min="39" max="39" width="17.109375" style="16" bestFit="1" customWidth="1"/>
    <col min="40" max="40" width="30.6640625" style="12" bestFit="1" customWidth="1"/>
    <col min="41" max="41" width="30" style="12" bestFit="1" customWidth="1"/>
    <col min="42" max="42" width="32.44140625" style="12" bestFit="1" customWidth="1"/>
    <col min="43" max="43" width="32.6640625" style="12" bestFit="1" customWidth="1"/>
    <col min="44" max="44" width="30.5546875" style="12" bestFit="1" customWidth="1"/>
    <col min="45" max="45" width="32.88671875" style="12" bestFit="1" customWidth="1"/>
    <col min="46" max="46" width="32.5546875" style="12" bestFit="1" customWidth="1"/>
    <col min="47" max="47" width="34.77734375" style="12" bestFit="1" customWidth="1"/>
    <col min="48" max="48" width="34.21875" style="12" bestFit="1" customWidth="1"/>
    <col min="49" max="49" width="25.33203125" style="12" bestFit="1" customWidth="1"/>
    <col min="50" max="50" width="29.109375" style="12" bestFit="1" customWidth="1"/>
    <col min="51" max="51" width="28.77734375" style="12" bestFit="1" customWidth="1"/>
    <col min="52" max="52" width="31" style="12" bestFit="1" customWidth="1"/>
    <col min="53" max="53" width="31.21875" style="12" bestFit="1" customWidth="1"/>
    <col min="54" max="54" width="36.109375" style="12" bestFit="1" customWidth="1"/>
    <col min="55" max="55" width="25.21875" style="12" bestFit="1" customWidth="1"/>
    <col min="56" max="56" width="25.44140625" style="12" bestFit="1" customWidth="1"/>
    <col min="57" max="57" width="27.5546875" style="12" bestFit="1" customWidth="1"/>
    <col min="58" max="58" width="28.109375" style="12" bestFit="1" customWidth="1"/>
    <col min="59" max="59" width="25.77734375" style="12" bestFit="1" customWidth="1"/>
    <col min="60" max="60" width="15.88671875" style="12" bestFit="1" customWidth="1"/>
    <col min="61" max="61" width="9.44140625" style="12" bestFit="1" customWidth="1"/>
    <col min="62" max="16384" width="8.88671875" style="12"/>
  </cols>
  <sheetData>
    <row r="1" spans="1:62" s="36" customFormat="1" ht="17.399999999999999" x14ac:dyDescent="0.3">
      <c r="A1" s="21" t="s">
        <v>64</v>
      </c>
      <c r="B1" s="21" t="s">
        <v>5</v>
      </c>
      <c r="C1" s="21" t="s">
        <v>1</v>
      </c>
      <c r="D1" s="22" t="s">
        <v>6</v>
      </c>
      <c r="E1" s="23" t="s">
        <v>7</v>
      </c>
      <c r="F1" s="22" t="s">
        <v>8</v>
      </c>
      <c r="G1" s="22" t="s">
        <v>9</v>
      </c>
      <c r="H1" s="22" t="s">
        <v>10</v>
      </c>
      <c r="I1" s="24" t="s">
        <v>11</v>
      </c>
      <c r="J1" s="25" t="s">
        <v>12</v>
      </c>
      <c r="K1" s="25" t="s">
        <v>13</v>
      </c>
      <c r="L1" s="25" t="s">
        <v>14</v>
      </c>
      <c r="M1" s="25" t="s">
        <v>15</v>
      </c>
      <c r="N1" s="26" t="s">
        <v>16</v>
      </c>
      <c r="O1" s="27" t="s">
        <v>17</v>
      </c>
      <c r="P1" s="27" t="s">
        <v>18</v>
      </c>
      <c r="Q1" s="27" t="s">
        <v>19</v>
      </c>
      <c r="R1" s="27" t="s">
        <v>20</v>
      </c>
      <c r="S1" s="28" t="s">
        <v>21</v>
      </c>
      <c r="T1" s="29" t="s">
        <v>22</v>
      </c>
      <c r="U1" s="29" t="s">
        <v>23</v>
      </c>
      <c r="V1" s="29" t="s">
        <v>24</v>
      </c>
      <c r="W1" s="29" t="s">
        <v>25</v>
      </c>
      <c r="X1" s="26" t="s">
        <v>26</v>
      </c>
      <c r="Y1" s="30" t="s">
        <v>27</v>
      </c>
      <c r="Z1" s="30" t="s">
        <v>28</v>
      </c>
      <c r="AA1" s="30" t="s">
        <v>29</v>
      </c>
      <c r="AB1" s="30" t="s">
        <v>30</v>
      </c>
      <c r="AC1" s="31" t="s">
        <v>31</v>
      </c>
      <c r="AD1" s="32" t="s">
        <v>32</v>
      </c>
      <c r="AE1" s="32" t="s">
        <v>33</v>
      </c>
      <c r="AF1" s="32" t="s">
        <v>34</v>
      </c>
      <c r="AG1" s="32" t="s">
        <v>35</v>
      </c>
      <c r="AH1" s="28" t="s">
        <v>36</v>
      </c>
      <c r="AI1" s="27" t="s">
        <v>59</v>
      </c>
      <c r="AJ1" s="27" t="s">
        <v>60</v>
      </c>
      <c r="AK1" s="27" t="s">
        <v>61</v>
      </c>
      <c r="AL1" s="27" t="s">
        <v>62</v>
      </c>
      <c r="AM1" s="24" t="s">
        <v>63</v>
      </c>
      <c r="AN1" s="33" t="s">
        <v>37</v>
      </c>
      <c r="AO1" s="34" t="s">
        <v>38</v>
      </c>
      <c r="AP1" s="34" t="s">
        <v>39</v>
      </c>
      <c r="AQ1" s="34" t="s">
        <v>40</v>
      </c>
      <c r="AR1" s="34" t="s">
        <v>41</v>
      </c>
      <c r="AS1" s="33" t="s">
        <v>42</v>
      </c>
      <c r="AT1" s="34" t="s">
        <v>43</v>
      </c>
      <c r="AU1" s="34" t="s">
        <v>44</v>
      </c>
      <c r="AV1" s="34" t="s">
        <v>45</v>
      </c>
      <c r="AW1" s="34" t="s">
        <v>46</v>
      </c>
      <c r="AX1" s="33" t="s">
        <v>47</v>
      </c>
      <c r="AY1" s="34" t="s">
        <v>48</v>
      </c>
      <c r="AZ1" s="34" t="s">
        <v>49</v>
      </c>
      <c r="BA1" s="34" t="s">
        <v>50</v>
      </c>
      <c r="BB1" s="34" t="s">
        <v>51</v>
      </c>
      <c r="BC1" s="34" t="s">
        <v>52</v>
      </c>
      <c r="BD1" s="34" t="s">
        <v>53</v>
      </c>
      <c r="BE1" s="34" t="s">
        <v>54</v>
      </c>
      <c r="BF1" s="34" t="s">
        <v>55</v>
      </c>
      <c r="BG1" s="34" t="s">
        <v>56</v>
      </c>
      <c r="BH1" s="34" t="s">
        <v>57</v>
      </c>
      <c r="BI1" s="35" t="s">
        <v>58</v>
      </c>
      <c r="BJ1" s="37"/>
    </row>
    <row r="2" spans="1:62" x14ac:dyDescent="0.3">
      <c r="A2" s="6"/>
      <c r="B2" s="6">
        <f>'Unit 1'!A2</f>
        <v>0</v>
      </c>
      <c r="C2" s="6">
        <f>'Unit 1'!B2</f>
        <v>0</v>
      </c>
      <c r="D2" s="6" t="str">
        <f>'Unit 1'!$G$2</f>
        <v>i</v>
      </c>
      <c r="E2" s="6">
        <f>'Unit 1'!C2</f>
        <v>0</v>
      </c>
      <c r="F2" s="6">
        <f>'Unit 1'!D2</f>
        <v>0</v>
      </c>
      <c r="G2" s="6">
        <f>'Unit 1'!E2</f>
        <v>0</v>
      </c>
      <c r="H2" s="6">
        <f>'Unit 1'!F2</f>
        <v>0</v>
      </c>
      <c r="I2" s="7">
        <f t="shared" ref="I2:I33" si="0">SUM(E2:H2)</f>
        <v>0</v>
      </c>
      <c r="J2" s="6">
        <f>'Unit 2'!B2</f>
        <v>0</v>
      </c>
      <c r="K2" s="6">
        <f>'Unit 2'!C2</f>
        <v>0</v>
      </c>
      <c r="L2" s="6">
        <f>'Unit 2'!D2</f>
        <v>0</v>
      </c>
      <c r="M2" s="6">
        <f>'Unit 2'!E2</f>
        <v>0</v>
      </c>
      <c r="N2" s="9">
        <f t="shared" ref="N2:N33" si="1">SUM(J2:M2)</f>
        <v>0</v>
      </c>
      <c r="O2" s="6">
        <f>'Unit 3'!B2</f>
        <v>0</v>
      </c>
      <c r="P2" s="6">
        <f>'Unit 3'!C2</f>
        <v>0</v>
      </c>
      <c r="Q2" s="6">
        <f>'Unit 3'!D2</f>
        <v>0</v>
      </c>
      <c r="R2" s="6">
        <f>'Unit 3'!E2</f>
        <v>0</v>
      </c>
      <c r="S2" s="8">
        <f t="shared" ref="S2:S33" si="2">SUM(O2:R2)</f>
        <v>0</v>
      </c>
      <c r="T2" s="6">
        <f>'Unit 4'!B2</f>
        <v>0</v>
      </c>
      <c r="U2" s="6">
        <f>'Unit 4'!C2</f>
        <v>0</v>
      </c>
      <c r="V2" s="6">
        <f>'Unit 4'!D2</f>
        <v>0</v>
      </c>
      <c r="W2" s="6">
        <f>'Unit 4'!E2</f>
        <v>0</v>
      </c>
      <c r="X2" s="9">
        <f t="shared" ref="X2:X33" si="3">SUM(T2:W2)</f>
        <v>0</v>
      </c>
      <c r="Y2" s="6">
        <f t="shared" ref="Y2:Y33" si="4">SUM(E2,J2,O2,T2,)</f>
        <v>0</v>
      </c>
      <c r="Z2" s="6">
        <f t="shared" ref="Z2:Z33" si="5">SUM(F2,K2,P2,U2,)</f>
        <v>0</v>
      </c>
      <c r="AA2" s="6">
        <f t="shared" ref="AA2:AA33" si="6">SUM(G2,L2,Q2,V2,)</f>
        <v>0</v>
      </c>
      <c r="AB2" s="6">
        <f t="shared" ref="AB2:AB33" si="7">SUM(H2,M2,R2,W2,)</f>
        <v>0</v>
      </c>
      <c r="AC2" s="6">
        <f t="shared" ref="AC2:AC33" si="8">SUM(Y2:AB2)</f>
        <v>0</v>
      </c>
      <c r="AD2" s="6">
        <f>'Half yearly'!B2</f>
        <v>0</v>
      </c>
      <c r="AE2" s="6">
        <f>'Half yearly'!C2</f>
        <v>0</v>
      </c>
      <c r="AF2" s="6">
        <f>'Half yearly'!D2</f>
        <v>0</v>
      </c>
      <c r="AG2" s="6">
        <f>'Half yearly'!E2</f>
        <v>0</v>
      </c>
      <c r="AH2" s="6">
        <f t="shared" ref="AH2:AH33" si="9">SUM(AD2:AG2)</f>
        <v>0</v>
      </c>
      <c r="AI2" s="6">
        <f>Annual!B2</f>
        <v>0</v>
      </c>
      <c r="AJ2" s="6">
        <f>Annual!C2</f>
        <v>0</v>
      </c>
      <c r="AK2" s="6">
        <f>Annual!D2</f>
        <v>0</v>
      </c>
      <c r="AL2" s="6">
        <f>Annual!E2</f>
        <v>0</v>
      </c>
      <c r="AM2" s="10">
        <f t="shared" ref="AM2:AM33" si="10">SUM(AI2:AL2)</f>
        <v>0</v>
      </c>
      <c r="AN2" s="6">
        <f t="shared" ref="AN2:AN33" si="11">IF(INT(SUM(E2, J2, O2, T2) * 0.2) &lt;&gt; A1, IF(SUM(E2, J2, O2, T2) * 0.2 - INT(SUM(E2, J2, O2, T2) * 0.2) &gt;= 0.5, ROUNDUP(SUM(E2, J2, O2, T2) * 0.2, 0), ROUNDDOWN(SUM(E2, J2, O2, T2) * 0.2, 0)), SUM(E2, J2, O2, T2) * 0.2)</f>
        <v>0</v>
      </c>
      <c r="AO2" s="6">
        <f t="shared" ref="AO2:AO33" si="12">IF(INT(SUM(F2, K2, P2, U2) * 0.2) &lt;&gt; B1, IF(SUM(F2, K2, P2, U2) * 0.2 - INT(SUM(F2, K2, P2, U2) * 0.2) &gt;= 0.5, ROUNDUP(SUM(F2, K2, P2, U2) * 0.2, 0), ROUNDDOWN(SUM(F2, K2, P2, U2) * 0.2, 0)), SUM(F2, K2, P2, U2) * 0.2)</f>
        <v>0</v>
      </c>
      <c r="AP2" s="6">
        <f t="shared" ref="AP2:AP33" si="13">IF(INT(SUM(G2, L2, Q2, V2) * 0.2) &lt;&gt; C1, IF(SUM(G2, L2, Q2, V2) * 0.2 - INT(SUM(G2, L2, Q2, V2) * 0.2) &gt;= 0.5, ROUNDUP(SUM(G2, L2, Q2, V2) * 0.2, 0), ROUNDDOWN(SUM(G2, L2, Q2, V2) * 0.2, 0)), SUM(G2, L2, Q2, V2) * 0.2)</f>
        <v>0</v>
      </c>
      <c r="AQ2" s="6">
        <f t="shared" ref="AQ2:AQ33" si="14">IF(INT(SUM(H2, M2, R2, W2) * 0.2) &lt;&gt; E1, IF(SUM(H2, M2, R2, W2) * 0.2 - INT(SUM(H2, M2, R2, W2) * 0.2) &gt;= 0.5, ROUNDUP(SUM(H2, M2, R2, W2) * 0.2, 0), ROUNDDOWN(SUM(H2, M2, R2, W2) * 0.2, 0)), SUM(H2, M2, R2, W2) * 0.2)</f>
        <v>0</v>
      </c>
      <c r="AR2" s="6">
        <f t="shared" ref="AR2:AR33" si="15">IF(INT(SUM(I2, N2, S2, X2) * 0.2) &lt;&gt; G1, IF(SUM(I2, N2, S2, X2) * 0.2 - INT(SUM(I2, N2, S2, X2) * 0.2) &gt;= 0.5, ROUNDUP(SUM(I2, N2, S2, X2) * 0.2, 0), ROUNDDOWN(SUM(I2, N2, S2, X2) * 0.2, 0)), SUM(I2, N2, S2, X2) * 0.2)</f>
        <v>0</v>
      </c>
      <c r="AS2" s="6">
        <f t="shared" ref="AS2:AS33" si="16">IF(INT(SUM(AD2) * 0.3) &lt;&gt; A1, IF(SUM(AD2) * 0.3 - INT(SUM(AD2) * 0.3) &gt;= 0.5, ROUNDUP(SUM(AD2) * 0.3, 0), ROUNDDOWN(SUM(AD2) * 0.3, 0)), SUM(AD2) * 0.3)</f>
        <v>0</v>
      </c>
      <c r="AT2" s="6">
        <f t="shared" ref="AT2:AT33" si="17">IF(INT(SUM(AE2) * 0.3) &lt;&gt; B1, IF(SUM(AE2) * 0.3 - INT(SUM(AE2) * 0.3) &gt;= 0.5, ROUNDUP(SUM(AE2) * 0.3, 0), ROUNDDOWN(SUM(AE2) * 0.3, 0)), SUM(AE2) * 0.3)</f>
        <v>0</v>
      </c>
      <c r="AU2" s="6">
        <f t="shared" ref="AU2:AU33" si="18">IF(INT(SUM(AF2) * 0.3) &lt;&gt; C1, IF(SUM(AF2) * 0.3 - INT(SUM(AF2) * 0.3) &gt;= 0.5, ROUNDUP(SUM(AF2) * 0.3, 0), ROUNDDOWN(SUM(AF2) * 0.3, 0)), SUM(AF2) * 0.3)</f>
        <v>0</v>
      </c>
      <c r="AV2" s="6">
        <f t="shared" ref="AV2:AV33" si="19">IF(INT(SUM(AG2) * 0.3) &lt;&gt; E1, IF(SUM(AG2) * 0.3 - INT(SUM(AG2) * 0.3) &gt;= 0.5, ROUNDUP(SUM(AG2) * 0.3, 0), ROUNDDOWN(SUM(AG2) * 0.3, 0)), SUM(AG2) * 0.3)</f>
        <v>0</v>
      </c>
      <c r="AW2" s="6">
        <f t="shared" ref="AW2:AW33" si="20">IF(INT(SUM(AH2) * 0.3) &lt;&gt; G1, IF(SUM(AH2) * 0.3 - INT(SUM(AH2) * 0.3) &gt;= 0.5, ROUNDUP(SUM(AH2) * 0.3, 0), ROUNDDOWN(SUM(AH2) * 0.3, 0)), SUM(AH2) * 0.3)</f>
        <v>0</v>
      </c>
      <c r="AX2" s="6">
        <f t="shared" ref="AX2:AX33" si="21">IF(INT(SUM(AI2) * 0.5) &lt;&gt; A1, IF(SUM(AI2) * 0.5 - INT(SUM(AI2) * 0.5) &gt;= 0.5, ROUNDUP(SUM(AI2) * 0.5, 0), ROUNDDOWN(SUM(AI2) * 0.5, 0)), SUM(AI2) * 0.5)</f>
        <v>0</v>
      </c>
      <c r="AY2" s="6">
        <f t="shared" ref="AY2:AY33" si="22">IF(INT(SUM(AJ2) * 0.5) &lt;&gt; B1, IF(SUM(AJ2) * 0.5 - INT(SUM(AJ2) * 0.5) &gt;= 0.5, ROUNDUP(SUM(AJ2) * 0.5, 0), ROUNDDOWN(SUM(AJ2) * 0.5, 0)), SUM(AJ2) * 0.5)</f>
        <v>0</v>
      </c>
      <c r="AZ2" s="6">
        <f t="shared" ref="AZ2:AZ33" si="23">IF(INT(SUM(AK2) * 0.5) &lt;&gt; C1, IF(SUM(AK2) * 0.5 - INT(SUM(AK2) * 0.5) &gt;= 0.5, ROUNDUP(SUM(AK2) * 0.5, 0), ROUNDDOWN(SUM(AK2) * 0.5, 0)), SUM(AK2) * 0.5)</f>
        <v>0</v>
      </c>
      <c r="BA2" s="6">
        <f t="shared" ref="BA2:BA33" si="24">IF(INT(SUM(AL2) * 0.5) &lt;&gt; E1, IF(SUM(AL2) * 0.5 - INT(SUM(AL2) * 0.5) &gt;= 0.5, ROUNDUP(SUM(AL2) * 0.5, 0), ROUNDDOWN(SUM(AL2) * 0.5, 0)), SUM(AL2) * 0.5)</f>
        <v>0</v>
      </c>
      <c r="BB2" s="6">
        <f t="shared" ref="BB2:BB33" si="25">IF(INT(SUM(AM2) * 0.5) &lt;&gt; G1, IF(SUM(AM2) * 0.5 - INT(SUM(AM2) * 0.5) &gt;= 0.5, ROUNDUP(SUM(AM2) * 0.5, 0), ROUNDDOWN(SUM(AM2) * 0.5, 0)), SUM(AM2) * 0.5)</f>
        <v>0</v>
      </c>
      <c r="BC2" s="6">
        <f t="shared" ref="BC2:BC33" si="26">SUM(AN2,AS2,AX2)</f>
        <v>0</v>
      </c>
      <c r="BD2" s="6">
        <f t="shared" ref="BD2:BD33" si="27">SUM(AO2,AT2,AY2)</f>
        <v>0</v>
      </c>
      <c r="BE2" s="6">
        <f t="shared" ref="BE2:BE33" si="28">SUM(AP2,AU2,AZ2)</f>
        <v>0</v>
      </c>
      <c r="BF2" s="6">
        <f t="shared" ref="BF2:BF33" si="29">SUM(AQ2,AV2,BA2)</f>
        <v>0</v>
      </c>
      <c r="BG2" s="11">
        <f t="shared" ref="BG2:BG33" si="30">SUM(BC2:BF2)</f>
        <v>0</v>
      </c>
      <c r="BH2" s="11">
        <f>SUM(BC2:BF2)/400*100</f>
        <v>0</v>
      </c>
      <c r="BI2" s="6" t="str">
        <f>IF(BH2&gt;=80,"A+",IF(BH2&gt;=70,"A",IF(BH2&gt;=60,"B+",IF(BH2&gt;=50,"B",IF(BH2&gt;=40,"C",IF(BH2&gt;=30,"E","FAIL"))))))</f>
        <v>FAIL</v>
      </c>
      <c r="BJ2" s="37"/>
    </row>
    <row r="3" spans="1:62" x14ac:dyDescent="0.3">
      <c r="A3" s="6"/>
      <c r="B3" s="6">
        <f>'Unit 1'!A3</f>
        <v>0</v>
      </c>
      <c r="C3" s="6">
        <f>'Unit 1'!B3</f>
        <v>0</v>
      </c>
      <c r="D3" s="6" t="str">
        <f>'Unit 1'!$G$2</f>
        <v>i</v>
      </c>
      <c r="E3" s="6">
        <f>'Unit 1'!C3</f>
        <v>0</v>
      </c>
      <c r="F3" s="6">
        <f>'Unit 1'!D3</f>
        <v>0</v>
      </c>
      <c r="G3" s="6">
        <f>'Unit 1'!E3</f>
        <v>0</v>
      </c>
      <c r="H3" s="6">
        <f>'Unit 1'!F3</f>
        <v>0</v>
      </c>
      <c r="I3" s="7">
        <f t="shared" si="0"/>
        <v>0</v>
      </c>
      <c r="J3" s="6">
        <f>'Unit 2'!B3</f>
        <v>0</v>
      </c>
      <c r="K3" s="6">
        <f>'Unit 2'!C3</f>
        <v>0</v>
      </c>
      <c r="L3" s="6">
        <f>'Unit 2'!D3</f>
        <v>0</v>
      </c>
      <c r="M3" s="6">
        <f>'Unit 2'!E3</f>
        <v>0</v>
      </c>
      <c r="N3" s="9">
        <f t="shared" si="1"/>
        <v>0</v>
      </c>
      <c r="O3" s="6">
        <f>'Unit 3'!B3</f>
        <v>0</v>
      </c>
      <c r="P3" s="6">
        <f>'Unit 3'!C3</f>
        <v>0</v>
      </c>
      <c r="Q3" s="6">
        <f>'Unit 3'!D3</f>
        <v>0</v>
      </c>
      <c r="R3" s="6">
        <f>'Unit 3'!E3</f>
        <v>0</v>
      </c>
      <c r="S3" s="8">
        <f t="shared" si="2"/>
        <v>0</v>
      </c>
      <c r="T3" s="6">
        <f>'Unit 4'!B3</f>
        <v>0</v>
      </c>
      <c r="U3" s="6">
        <f>'Unit 4'!C3</f>
        <v>0</v>
      </c>
      <c r="V3" s="6">
        <f>'Unit 4'!D3</f>
        <v>0</v>
      </c>
      <c r="W3" s="6">
        <f>'Unit 4'!E3</f>
        <v>0</v>
      </c>
      <c r="X3" s="9">
        <f t="shared" si="3"/>
        <v>0</v>
      </c>
      <c r="Y3" s="6">
        <f t="shared" si="4"/>
        <v>0</v>
      </c>
      <c r="Z3" s="6">
        <f t="shared" si="5"/>
        <v>0</v>
      </c>
      <c r="AA3" s="6">
        <f t="shared" si="6"/>
        <v>0</v>
      </c>
      <c r="AB3" s="6">
        <f t="shared" si="7"/>
        <v>0</v>
      </c>
      <c r="AC3" s="6">
        <f t="shared" si="8"/>
        <v>0</v>
      </c>
      <c r="AD3" s="6">
        <f>'Half yearly'!B3</f>
        <v>0</v>
      </c>
      <c r="AE3" s="6">
        <f>'Half yearly'!C3</f>
        <v>0</v>
      </c>
      <c r="AF3" s="6">
        <f>'Half yearly'!D3</f>
        <v>0</v>
      </c>
      <c r="AG3" s="6">
        <f>'Half yearly'!E3</f>
        <v>0</v>
      </c>
      <c r="AH3" s="6">
        <f t="shared" si="9"/>
        <v>0</v>
      </c>
      <c r="AI3" s="6">
        <f>Annual!B3</f>
        <v>0</v>
      </c>
      <c r="AJ3" s="6">
        <f>Annual!C3</f>
        <v>0</v>
      </c>
      <c r="AK3" s="6">
        <f>Annual!D3</f>
        <v>0</v>
      </c>
      <c r="AL3" s="6">
        <f>Annual!E3</f>
        <v>0</v>
      </c>
      <c r="AM3" s="10">
        <f t="shared" si="10"/>
        <v>0</v>
      </c>
      <c r="AN3" s="6">
        <f t="shared" si="11"/>
        <v>0</v>
      </c>
      <c r="AO3" s="6">
        <f t="shared" si="12"/>
        <v>0</v>
      </c>
      <c r="AP3" s="6">
        <f t="shared" si="13"/>
        <v>0</v>
      </c>
      <c r="AQ3" s="6">
        <f t="shared" si="14"/>
        <v>0</v>
      </c>
      <c r="AR3" s="6">
        <f t="shared" si="15"/>
        <v>0</v>
      </c>
      <c r="AS3" s="6">
        <f t="shared" si="16"/>
        <v>0</v>
      </c>
      <c r="AT3" s="6">
        <f t="shared" si="17"/>
        <v>0</v>
      </c>
      <c r="AU3" s="6">
        <f t="shared" si="18"/>
        <v>0</v>
      </c>
      <c r="AV3" s="6">
        <f t="shared" si="19"/>
        <v>0</v>
      </c>
      <c r="AW3" s="6">
        <f t="shared" si="20"/>
        <v>0</v>
      </c>
      <c r="AX3" s="6">
        <f t="shared" si="21"/>
        <v>0</v>
      </c>
      <c r="AY3" s="6">
        <f t="shared" si="22"/>
        <v>0</v>
      </c>
      <c r="AZ3" s="6">
        <f t="shared" si="23"/>
        <v>0</v>
      </c>
      <c r="BA3" s="6">
        <f t="shared" si="24"/>
        <v>0</v>
      </c>
      <c r="BB3" s="6">
        <f t="shared" si="25"/>
        <v>0</v>
      </c>
      <c r="BC3" s="6">
        <f t="shared" si="26"/>
        <v>0</v>
      </c>
      <c r="BD3" s="6">
        <f t="shared" si="27"/>
        <v>0</v>
      </c>
      <c r="BE3" s="6">
        <f t="shared" si="28"/>
        <v>0</v>
      </c>
      <c r="BF3" s="6">
        <f t="shared" si="29"/>
        <v>0</v>
      </c>
      <c r="BG3" s="11">
        <f t="shared" si="30"/>
        <v>0</v>
      </c>
      <c r="BH3" s="11">
        <f t="shared" ref="BH3:BH34" si="31">SUM(BC3:BF3)/500*100</f>
        <v>0</v>
      </c>
      <c r="BI3" s="6" t="str">
        <f t="shared" ref="BI3:BI60" si="32">IF(BH3&gt;=80,"A+",IF(BH3&gt;=70,"A",IF(BH3&gt;=60,"B+",IF(BH3&gt;=50,"B",IF(BH3&gt;=40,"C",IF(BH3&gt;=30,"E","FAIL"))))))</f>
        <v>FAIL</v>
      </c>
      <c r="BJ3" s="37"/>
    </row>
    <row r="4" spans="1:62" x14ac:dyDescent="0.3">
      <c r="A4" s="6"/>
      <c r="B4" s="6">
        <f>'Unit 1'!A4</f>
        <v>0</v>
      </c>
      <c r="C4" s="6">
        <f>'Unit 1'!B4</f>
        <v>0</v>
      </c>
      <c r="D4" s="6" t="str">
        <f>'Unit 1'!$G$2</f>
        <v>i</v>
      </c>
      <c r="E4" s="6">
        <f>'Unit 1'!C4</f>
        <v>0</v>
      </c>
      <c r="F4" s="6">
        <f>'Unit 1'!D4</f>
        <v>0</v>
      </c>
      <c r="G4" s="6">
        <f>'Unit 1'!E4</f>
        <v>0</v>
      </c>
      <c r="H4" s="6">
        <f>'Unit 1'!F4</f>
        <v>0</v>
      </c>
      <c r="I4" s="7">
        <f t="shared" si="0"/>
        <v>0</v>
      </c>
      <c r="J4" s="6">
        <f>'Unit 2'!B4</f>
        <v>0</v>
      </c>
      <c r="K4" s="6">
        <f>'Unit 2'!C4</f>
        <v>0</v>
      </c>
      <c r="L4" s="6">
        <f>'Unit 2'!D4</f>
        <v>0</v>
      </c>
      <c r="M4" s="6">
        <f>'Unit 2'!E4</f>
        <v>0</v>
      </c>
      <c r="N4" s="9">
        <f t="shared" si="1"/>
        <v>0</v>
      </c>
      <c r="O4" s="6">
        <f>'Unit 3'!B4</f>
        <v>0</v>
      </c>
      <c r="P4" s="6">
        <f>'Unit 3'!C4</f>
        <v>0</v>
      </c>
      <c r="Q4" s="6">
        <f>'Unit 3'!D4</f>
        <v>0</v>
      </c>
      <c r="R4" s="6">
        <f>'Unit 3'!E4</f>
        <v>0</v>
      </c>
      <c r="S4" s="8">
        <f t="shared" si="2"/>
        <v>0</v>
      </c>
      <c r="T4" s="6">
        <f>'Unit 4'!B4</f>
        <v>0</v>
      </c>
      <c r="U4" s="6">
        <f>'Unit 4'!C4</f>
        <v>0</v>
      </c>
      <c r="V4" s="6">
        <f>'Unit 4'!D4</f>
        <v>0</v>
      </c>
      <c r="W4" s="6">
        <f>'Unit 4'!E4</f>
        <v>0</v>
      </c>
      <c r="X4" s="9">
        <f t="shared" si="3"/>
        <v>0</v>
      </c>
      <c r="Y4" s="6">
        <f t="shared" si="4"/>
        <v>0</v>
      </c>
      <c r="Z4" s="6">
        <f t="shared" si="5"/>
        <v>0</v>
      </c>
      <c r="AA4" s="6">
        <f t="shared" si="6"/>
        <v>0</v>
      </c>
      <c r="AB4" s="6">
        <f t="shared" si="7"/>
        <v>0</v>
      </c>
      <c r="AC4" s="6">
        <f t="shared" si="8"/>
        <v>0</v>
      </c>
      <c r="AD4" s="6">
        <f>'Half yearly'!B4</f>
        <v>0</v>
      </c>
      <c r="AE4" s="6">
        <f>'Half yearly'!C4</f>
        <v>0</v>
      </c>
      <c r="AF4" s="6">
        <f>'Half yearly'!D4</f>
        <v>0</v>
      </c>
      <c r="AG4" s="6">
        <f>'Half yearly'!E4</f>
        <v>0</v>
      </c>
      <c r="AH4" s="6">
        <f t="shared" si="9"/>
        <v>0</v>
      </c>
      <c r="AI4" s="6">
        <f>Annual!B4</f>
        <v>0</v>
      </c>
      <c r="AJ4" s="6">
        <f>Annual!C4</f>
        <v>0</v>
      </c>
      <c r="AK4" s="6">
        <f>Annual!D4</f>
        <v>0</v>
      </c>
      <c r="AL4" s="6">
        <f>Annual!E4</f>
        <v>0</v>
      </c>
      <c r="AM4" s="10">
        <f t="shared" si="10"/>
        <v>0</v>
      </c>
      <c r="AN4" s="6">
        <f t="shared" si="11"/>
        <v>0</v>
      </c>
      <c r="AO4" s="6">
        <f t="shared" si="12"/>
        <v>0</v>
      </c>
      <c r="AP4" s="6">
        <f t="shared" si="13"/>
        <v>0</v>
      </c>
      <c r="AQ4" s="6">
        <f t="shared" si="14"/>
        <v>0</v>
      </c>
      <c r="AR4" s="6">
        <f t="shared" si="15"/>
        <v>0</v>
      </c>
      <c r="AS4" s="6">
        <f t="shared" si="16"/>
        <v>0</v>
      </c>
      <c r="AT4" s="6">
        <f t="shared" si="17"/>
        <v>0</v>
      </c>
      <c r="AU4" s="6">
        <f t="shared" si="18"/>
        <v>0</v>
      </c>
      <c r="AV4" s="6">
        <f t="shared" si="19"/>
        <v>0</v>
      </c>
      <c r="AW4" s="6">
        <f t="shared" si="20"/>
        <v>0</v>
      </c>
      <c r="AX4" s="6">
        <f t="shared" si="21"/>
        <v>0</v>
      </c>
      <c r="AY4" s="6">
        <f t="shared" si="22"/>
        <v>0</v>
      </c>
      <c r="AZ4" s="6">
        <f t="shared" si="23"/>
        <v>0</v>
      </c>
      <c r="BA4" s="6">
        <f t="shared" si="24"/>
        <v>0</v>
      </c>
      <c r="BB4" s="6">
        <f t="shared" si="25"/>
        <v>0</v>
      </c>
      <c r="BC4" s="6">
        <f t="shared" si="26"/>
        <v>0</v>
      </c>
      <c r="BD4" s="6">
        <f t="shared" si="27"/>
        <v>0</v>
      </c>
      <c r="BE4" s="6">
        <f t="shared" si="28"/>
        <v>0</v>
      </c>
      <c r="BF4" s="6">
        <f t="shared" si="29"/>
        <v>0</v>
      </c>
      <c r="BG4" s="11">
        <f t="shared" si="30"/>
        <v>0</v>
      </c>
      <c r="BH4" s="11">
        <f t="shared" si="31"/>
        <v>0</v>
      </c>
      <c r="BI4" s="6" t="str">
        <f t="shared" si="32"/>
        <v>FAIL</v>
      </c>
      <c r="BJ4" s="37"/>
    </row>
    <row r="5" spans="1:62" x14ac:dyDescent="0.3">
      <c r="A5" s="6"/>
      <c r="B5" s="6">
        <f>'Unit 1'!A5</f>
        <v>0</v>
      </c>
      <c r="C5" s="6">
        <f>'Unit 1'!B5</f>
        <v>0</v>
      </c>
      <c r="D5" s="6" t="str">
        <f>'Unit 1'!$G$2</f>
        <v>i</v>
      </c>
      <c r="E5" s="6">
        <f>'Unit 1'!C5</f>
        <v>0</v>
      </c>
      <c r="F5" s="6">
        <f>'Unit 1'!D5</f>
        <v>0</v>
      </c>
      <c r="G5" s="6">
        <f>'Unit 1'!E5</f>
        <v>0</v>
      </c>
      <c r="H5" s="6">
        <f>'Unit 1'!F5</f>
        <v>0</v>
      </c>
      <c r="I5" s="7">
        <f t="shared" si="0"/>
        <v>0</v>
      </c>
      <c r="J5" s="6">
        <f>'Unit 2'!B5</f>
        <v>0</v>
      </c>
      <c r="K5" s="6">
        <f>'Unit 2'!C5</f>
        <v>0</v>
      </c>
      <c r="L5" s="6">
        <f>'Unit 2'!D5</f>
        <v>0</v>
      </c>
      <c r="M5" s="6">
        <f>'Unit 2'!E5</f>
        <v>0</v>
      </c>
      <c r="N5" s="9">
        <f t="shared" si="1"/>
        <v>0</v>
      </c>
      <c r="O5" s="6">
        <f>'Unit 3'!B5</f>
        <v>0</v>
      </c>
      <c r="P5" s="6">
        <f>'Unit 3'!C5</f>
        <v>0</v>
      </c>
      <c r="Q5" s="6">
        <f>'Unit 3'!D5</f>
        <v>0</v>
      </c>
      <c r="R5" s="6">
        <f>'Unit 3'!E5</f>
        <v>0</v>
      </c>
      <c r="S5" s="8">
        <f t="shared" si="2"/>
        <v>0</v>
      </c>
      <c r="T5" s="6">
        <f>'Unit 4'!B5</f>
        <v>0</v>
      </c>
      <c r="U5" s="6">
        <f>'Unit 4'!C5</f>
        <v>0</v>
      </c>
      <c r="V5" s="6">
        <f>'Unit 4'!D5</f>
        <v>0</v>
      </c>
      <c r="W5" s="6">
        <f>'Unit 4'!E5</f>
        <v>0</v>
      </c>
      <c r="X5" s="9">
        <f t="shared" si="3"/>
        <v>0</v>
      </c>
      <c r="Y5" s="6">
        <f t="shared" si="4"/>
        <v>0</v>
      </c>
      <c r="Z5" s="6">
        <f t="shared" si="5"/>
        <v>0</v>
      </c>
      <c r="AA5" s="6">
        <f t="shared" si="6"/>
        <v>0</v>
      </c>
      <c r="AB5" s="6">
        <f t="shared" si="7"/>
        <v>0</v>
      </c>
      <c r="AC5" s="6">
        <f t="shared" si="8"/>
        <v>0</v>
      </c>
      <c r="AD5" s="6">
        <f>'Half yearly'!B5</f>
        <v>0</v>
      </c>
      <c r="AE5" s="6">
        <f>'Half yearly'!C5</f>
        <v>0</v>
      </c>
      <c r="AF5" s="6">
        <f>'Half yearly'!D5</f>
        <v>0</v>
      </c>
      <c r="AG5" s="6">
        <f>'Half yearly'!E5</f>
        <v>0</v>
      </c>
      <c r="AH5" s="6">
        <f t="shared" si="9"/>
        <v>0</v>
      </c>
      <c r="AI5" s="6">
        <f>Annual!B5</f>
        <v>0</v>
      </c>
      <c r="AJ5" s="6">
        <f>Annual!C5</f>
        <v>0</v>
      </c>
      <c r="AK5" s="6">
        <f>Annual!D5</f>
        <v>0</v>
      </c>
      <c r="AL5" s="6">
        <f>Annual!E5</f>
        <v>0</v>
      </c>
      <c r="AM5" s="10">
        <f t="shared" si="10"/>
        <v>0</v>
      </c>
      <c r="AN5" s="6">
        <f t="shared" si="11"/>
        <v>0</v>
      </c>
      <c r="AO5" s="6">
        <f t="shared" si="12"/>
        <v>0</v>
      </c>
      <c r="AP5" s="6">
        <f t="shared" si="13"/>
        <v>0</v>
      </c>
      <c r="AQ5" s="6">
        <f t="shared" si="14"/>
        <v>0</v>
      </c>
      <c r="AR5" s="6">
        <f t="shared" si="15"/>
        <v>0</v>
      </c>
      <c r="AS5" s="6">
        <f t="shared" si="16"/>
        <v>0</v>
      </c>
      <c r="AT5" s="6">
        <f t="shared" si="17"/>
        <v>0</v>
      </c>
      <c r="AU5" s="6">
        <f t="shared" si="18"/>
        <v>0</v>
      </c>
      <c r="AV5" s="6">
        <f t="shared" si="19"/>
        <v>0</v>
      </c>
      <c r="AW5" s="6">
        <f t="shared" si="20"/>
        <v>0</v>
      </c>
      <c r="AX5" s="6">
        <f t="shared" si="21"/>
        <v>0</v>
      </c>
      <c r="AY5" s="6">
        <f t="shared" si="22"/>
        <v>0</v>
      </c>
      <c r="AZ5" s="6">
        <f t="shared" si="23"/>
        <v>0</v>
      </c>
      <c r="BA5" s="6">
        <f t="shared" si="24"/>
        <v>0</v>
      </c>
      <c r="BB5" s="6">
        <f t="shared" si="25"/>
        <v>0</v>
      </c>
      <c r="BC5" s="6">
        <f t="shared" si="26"/>
        <v>0</v>
      </c>
      <c r="BD5" s="6">
        <f t="shared" si="27"/>
        <v>0</v>
      </c>
      <c r="BE5" s="6">
        <f t="shared" si="28"/>
        <v>0</v>
      </c>
      <c r="BF5" s="6">
        <f t="shared" si="29"/>
        <v>0</v>
      </c>
      <c r="BG5" s="11">
        <f t="shared" si="30"/>
        <v>0</v>
      </c>
      <c r="BH5" s="11">
        <f t="shared" si="31"/>
        <v>0</v>
      </c>
      <c r="BI5" s="6" t="str">
        <f t="shared" si="32"/>
        <v>FAIL</v>
      </c>
      <c r="BJ5" s="37"/>
    </row>
    <row r="6" spans="1:62" x14ac:dyDescent="0.3">
      <c r="A6" s="6"/>
      <c r="B6" s="6">
        <f>'Unit 1'!A6</f>
        <v>0</v>
      </c>
      <c r="C6" s="6">
        <f>'Unit 1'!B6</f>
        <v>0</v>
      </c>
      <c r="D6" s="6" t="str">
        <f>'Unit 1'!$G$2</f>
        <v>i</v>
      </c>
      <c r="E6" s="6">
        <f>'Unit 1'!C6</f>
        <v>0</v>
      </c>
      <c r="F6" s="6">
        <f>'Unit 1'!D6</f>
        <v>0</v>
      </c>
      <c r="G6" s="6">
        <f>'Unit 1'!E6</f>
        <v>0</v>
      </c>
      <c r="H6" s="6">
        <f>'Unit 1'!F6</f>
        <v>0</v>
      </c>
      <c r="I6" s="7">
        <f t="shared" si="0"/>
        <v>0</v>
      </c>
      <c r="J6" s="6">
        <f>'Unit 2'!B6</f>
        <v>0</v>
      </c>
      <c r="K6" s="6">
        <f>'Unit 2'!C6</f>
        <v>0</v>
      </c>
      <c r="L6" s="6">
        <f>'Unit 2'!D6</f>
        <v>0</v>
      </c>
      <c r="M6" s="6">
        <f>'Unit 2'!E6</f>
        <v>0</v>
      </c>
      <c r="N6" s="9">
        <f t="shared" si="1"/>
        <v>0</v>
      </c>
      <c r="O6" s="6">
        <f>'Unit 3'!B6</f>
        <v>0</v>
      </c>
      <c r="P6" s="6">
        <f>'Unit 3'!C6</f>
        <v>0</v>
      </c>
      <c r="Q6" s="6">
        <f>'Unit 3'!D6</f>
        <v>0</v>
      </c>
      <c r="R6" s="6">
        <f>'Unit 3'!E6</f>
        <v>0</v>
      </c>
      <c r="S6" s="8">
        <f t="shared" si="2"/>
        <v>0</v>
      </c>
      <c r="T6" s="6">
        <f>'Unit 4'!B6</f>
        <v>0</v>
      </c>
      <c r="U6" s="6">
        <f>'Unit 4'!C6</f>
        <v>0</v>
      </c>
      <c r="V6" s="6">
        <f>'Unit 4'!D6</f>
        <v>0</v>
      </c>
      <c r="W6" s="6">
        <f>'Unit 4'!E6</f>
        <v>0</v>
      </c>
      <c r="X6" s="9">
        <f t="shared" si="3"/>
        <v>0</v>
      </c>
      <c r="Y6" s="6">
        <f t="shared" si="4"/>
        <v>0</v>
      </c>
      <c r="Z6" s="6">
        <f t="shared" si="5"/>
        <v>0</v>
      </c>
      <c r="AA6" s="6">
        <f t="shared" si="6"/>
        <v>0</v>
      </c>
      <c r="AB6" s="6">
        <f t="shared" si="7"/>
        <v>0</v>
      </c>
      <c r="AC6" s="6">
        <f t="shared" si="8"/>
        <v>0</v>
      </c>
      <c r="AD6" s="6">
        <f>'Half yearly'!B6</f>
        <v>0</v>
      </c>
      <c r="AE6" s="6">
        <f>'Half yearly'!C6</f>
        <v>0</v>
      </c>
      <c r="AF6" s="6">
        <f>'Half yearly'!D6</f>
        <v>0</v>
      </c>
      <c r="AG6" s="6">
        <f>'Half yearly'!E6</f>
        <v>0</v>
      </c>
      <c r="AH6" s="6">
        <f t="shared" si="9"/>
        <v>0</v>
      </c>
      <c r="AI6" s="6">
        <f>Annual!B6</f>
        <v>0</v>
      </c>
      <c r="AJ6" s="6">
        <f>Annual!C6</f>
        <v>0</v>
      </c>
      <c r="AK6" s="6">
        <f>Annual!D6</f>
        <v>0</v>
      </c>
      <c r="AL6" s="6">
        <f>Annual!E6</f>
        <v>0</v>
      </c>
      <c r="AM6" s="10">
        <f t="shared" si="10"/>
        <v>0</v>
      </c>
      <c r="AN6" s="6">
        <f t="shared" si="11"/>
        <v>0</v>
      </c>
      <c r="AO6" s="6">
        <f t="shared" si="12"/>
        <v>0</v>
      </c>
      <c r="AP6" s="6">
        <f t="shared" si="13"/>
        <v>0</v>
      </c>
      <c r="AQ6" s="6">
        <f t="shared" si="14"/>
        <v>0</v>
      </c>
      <c r="AR6" s="6">
        <f t="shared" si="15"/>
        <v>0</v>
      </c>
      <c r="AS6" s="6">
        <f t="shared" si="16"/>
        <v>0</v>
      </c>
      <c r="AT6" s="6">
        <f t="shared" si="17"/>
        <v>0</v>
      </c>
      <c r="AU6" s="6">
        <f t="shared" si="18"/>
        <v>0</v>
      </c>
      <c r="AV6" s="6">
        <f t="shared" si="19"/>
        <v>0</v>
      </c>
      <c r="AW6" s="6">
        <f t="shared" si="20"/>
        <v>0</v>
      </c>
      <c r="AX6" s="6">
        <f t="shared" si="21"/>
        <v>0</v>
      </c>
      <c r="AY6" s="6">
        <f t="shared" si="22"/>
        <v>0</v>
      </c>
      <c r="AZ6" s="6">
        <f t="shared" si="23"/>
        <v>0</v>
      </c>
      <c r="BA6" s="6">
        <f t="shared" si="24"/>
        <v>0</v>
      </c>
      <c r="BB6" s="6">
        <f t="shared" si="25"/>
        <v>0</v>
      </c>
      <c r="BC6" s="6">
        <f t="shared" si="26"/>
        <v>0</v>
      </c>
      <c r="BD6" s="6">
        <f t="shared" si="27"/>
        <v>0</v>
      </c>
      <c r="BE6" s="6">
        <f t="shared" si="28"/>
        <v>0</v>
      </c>
      <c r="BF6" s="6">
        <f t="shared" si="29"/>
        <v>0</v>
      </c>
      <c r="BG6" s="11">
        <f t="shared" si="30"/>
        <v>0</v>
      </c>
      <c r="BH6" s="11">
        <f t="shared" si="31"/>
        <v>0</v>
      </c>
      <c r="BI6" s="6" t="str">
        <f t="shared" si="32"/>
        <v>FAIL</v>
      </c>
      <c r="BJ6" s="37"/>
    </row>
    <row r="7" spans="1:62" x14ac:dyDescent="0.3">
      <c r="A7" s="6"/>
      <c r="B7" s="6">
        <f>'Unit 1'!A7</f>
        <v>0</v>
      </c>
      <c r="C7" s="6">
        <f>'Unit 1'!B7</f>
        <v>0</v>
      </c>
      <c r="D7" s="6" t="str">
        <f>'Unit 1'!$G$2</f>
        <v>i</v>
      </c>
      <c r="E7" s="6">
        <f>'Unit 1'!C7</f>
        <v>0</v>
      </c>
      <c r="F7" s="6">
        <f>'Unit 1'!D7</f>
        <v>0</v>
      </c>
      <c r="G7" s="6">
        <f>'Unit 1'!E7</f>
        <v>0</v>
      </c>
      <c r="H7" s="6">
        <f>'Unit 1'!F7</f>
        <v>0</v>
      </c>
      <c r="I7" s="7">
        <f t="shared" si="0"/>
        <v>0</v>
      </c>
      <c r="J7" s="6">
        <f>'Unit 2'!B7</f>
        <v>0</v>
      </c>
      <c r="K7" s="6">
        <f>'Unit 2'!C7</f>
        <v>0</v>
      </c>
      <c r="L7" s="6">
        <f>'Unit 2'!D7</f>
        <v>0</v>
      </c>
      <c r="M7" s="6">
        <f>'Unit 2'!E7</f>
        <v>0</v>
      </c>
      <c r="N7" s="9">
        <f t="shared" si="1"/>
        <v>0</v>
      </c>
      <c r="O7" s="6">
        <f>'Unit 3'!B7</f>
        <v>0</v>
      </c>
      <c r="P7" s="6">
        <f>'Unit 3'!C7</f>
        <v>0</v>
      </c>
      <c r="Q7" s="6">
        <f>'Unit 3'!D7</f>
        <v>0</v>
      </c>
      <c r="R7" s="6">
        <f>'Unit 3'!E7</f>
        <v>0</v>
      </c>
      <c r="S7" s="8">
        <f t="shared" si="2"/>
        <v>0</v>
      </c>
      <c r="T7" s="6">
        <f>'Unit 4'!B7</f>
        <v>0</v>
      </c>
      <c r="U7" s="6">
        <f>'Unit 4'!C7</f>
        <v>0</v>
      </c>
      <c r="V7" s="6">
        <f>'Unit 4'!D7</f>
        <v>0</v>
      </c>
      <c r="W7" s="6">
        <f>'Unit 4'!E7</f>
        <v>0</v>
      </c>
      <c r="X7" s="9">
        <f t="shared" si="3"/>
        <v>0</v>
      </c>
      <c r="Y7" s="6">
        <f t="shared" si="4"/>
        <v>0</v>
      </c>
      <c r="Z7" s="6">
        <f t="shared" si="5"/>
        <v>0</v>
      </c>
      <c r="AA7" s="6">
        <f t="shared" si="6"/>
        <v>0</v>
      </c>
      <c r="AB7" s="6">
        <f t="shared" si="7"/>
        <v>0</v>
      </c>
      <c r="AC7" s="6">
        <f t="shared" si="8"/>
        <v>0</v>
      </c>
      <c r="AD7" s="6">
        <f>'Half yearly'!B7</f>
        <v>0</v>
      </c>
      <c r="AE7" s="6">
        <f>'Half yearly'!C7</f>
        <v>0</v>
      </c>
      <c r="AF7" s="6">
        <f>'Half yearly'!D7</f>
        <v>0</v>
      </c>
      <c r="AG7" s="6">
        <f>'Half yearly'!E7</f>
        <v>0</v>
      </c>
      <c r="AH7" s="6">
        <f t="shared" si="9"/>
        <v>0</v>
      </c>
      <c r="AI7" s="6">
        <f>Annual!B7</f>
        <v>0</v>
      </c>
      <c r="AJ7" s="6">
        <f>Annual!C7</f>
        <v>0</v>
      </c>
      <c r="AK7" s="6">
        <f>Annual!D7</f>
        <v>0</v>
      </c>
      <c r="AL7" s="6">
        <f>Annual!E7</f>
        <v>0</v>
      </c>
      <c r="AM7" s="10">
        <f t="shared" si="10"/>
        <v>0</v>
      </c>
      <c r="AN7" s="6">
        <f t="shared" si="11"/>
        <v>0</v>
      </c>
      <c r="AO7" s="6">
        <f t="shared" si="12"/>
        <v>0</v>
      </c>
      <c r="AP7" s="6">
        <f t="shared" si="13"/>
        <v>0</v>
      </c>
      <c r="AQ7" s="6">
        <f t="shared" si="14"/>
        <v>0</v>
      </c>
      <c r="AR7" s="6">
        <f t="shared" si="15"/>
        <v>0</v>
      </c>
      <c r="AS7" s="6">
        <f t="shared" si="16"/>
        <v>0</v>
      </c>
      <c r="AT7" s="6">
        <f t="shared" si="17"/>
        <v>0</v>
      </c>
      <c r="AU7" s="6">
        <f t="shared" si="18"/>
        <v>0</v>
      </c>
      <c r="AV7" s="6">
        <f t="shared" si="19"/>
        <v>0</v>
      </c>
      <c r="AW7" s="6">
        <f t="shared" si="20"/>
        <v>0</v>
      </c>
      <c r="AX7" s="6">
        <f t="shared" si="21"/>
        <v>0</v>
      </c>
      <c r="AY7" s="6">
        <f t="shared" si="22"/>
        <v>0</v>
      </c>
      <c r="AZ7" s="6">
        <f t="shared" si="23"/>
        <v>0</v>
      </c>
      <c r="BA7" s="6">
        <f t="shared" si="24"/>
        <v>0</v>
      </c>
      <c r="BB7" s="6">
        <f t="shared" si="25"/>
        <v>0</v>
      </c>
      <c r="BC7" s="6">
        <f t="shared" si="26"/>
        <v>0</v>
      </c>
      <c r="BD7" s="6">
        <f t="shared" si="27"/>
        <v>0</v>
      </c>
      <c r="BE7" s="6">
        <f t="shared" si="28"/>
        <v>0</v>
      </c>
      <c r="BF7" s="6">
        <f t="shared" si="29"/>
        <v>0</v>
      </c>
      <c r="BG7" s="11">
        <f t="shared" si="30"/>
        <v>0</v>
      </c>
      <c r="BH7" s="11">
        <f t="shared" si="31"/>
        <v>0</v>
      </c>
      <c r="BI7" s="6" t="str">
        <f t="shared" si="32"/>
        <v>FAIL</v>
      </c>
      <c r="BJ7" s="37"/>
    </row>
    <row r="8" spans="1:62" x14ac:dyDescent="0.3">
      <c r="A8" s="6"/>
      <c r="B8" s="6">
        <f>'Unit 1'!A8</f>
        <v>0</v>
      </c>
      <c r="C8" s="6">
        <f>'Unit 1'!B8</f>
        <v>0</v>
      </c>
      <c r="D8" s="6" t="str">
        <f>'Unit 1'!$G$2</f>
        <v>i</v>
      </c>
      <c r="E8" s="6">
        <f>'Unit 1'!C8</f>
        <v>0</v>
      </c>
      <c r="F8" s="6">
        <f>'Unit 1'!D8</f>
        <v>0</v>
      </c>
      <c r="G8" s="6">
        <f>'Unit 1'!E8</f>
        <v>0</v>
      </c>
      <c r="H8" s="6">
        <f>'Unit 1'!F8</f>
        <v>0</v>
      </c>
      <c r="I8" s="7">
        <f t="shared" si="0"/>
        <v>0</v>
      </c>
      <c r="J8" s="6">
        <f>'Unit 2'!B8</f>
        <v>0</v>
      </c>
      <c r="K8" s="6">
        <f>'Unit 2'!C8</f>
        <v>0</v>
      </c>
      <c r="L8" s="6">
        <f>'Unit 2'!D8</f>
        <v>0</v>
      </c>
      <c r="M8" s="6">
        <f>'Unit 2'!E8</f>
        <v>0</v>
      </c>
      <c r="N8" s="9">
        <f t="shared" si="1"/>
        <v>0</v>
      </c>
      <c r="O8" s="6">
        <f>'Unit 3'!B8</f>
        <v>0</v>
      </c>
      <c r="P8" s="6">
        <f>'Unit 3'!C8</f>
        <v>0</v>
      </c>
      <c r="Q8" s="6">
        <f>'Unit 3'!D8</f>
        <v>0</v>
      </c>
      <c r="R8" s="6">
        <f>'Unit 3'!E8</f>
        <v>0</v>
      </c>
      <c r="S8" s="8">
        <f t="shared" si="2"/>
        <v>0</v>
      </c>
      <c r="T8" s="6">
        <f>'Unit 4'!B8</f>
        <v>0</v>
      </c>
      <c r="U8" s="6">
        <f>'Unit 4'!C8</f>
        <v>0</v>
      </c>
      <c r="V8" s="6">
        <f>'Unit 4'!D8</f>
        <v>0</v>
      </c>
      <c r="W8" s="6">
        <f>'Unit 4'!E8</f>
        <v>0</v>
      </c>
      <c r="X8" s="9">
        <f t="shared" si="3"/>
        <v>0</v>
      </c>
      <c r="Y8" s="6">
        <f t="shared" si="4"/>
        <v>0</v>
      </c>
      <c r="Z8" s="6">
        <f t="shared" si="5"/>
        <v>0</v>
      </c>
      <c r="AA8" s="6">
        <f t="shared" si="6"/>
        <v>0</v>
      </c>
      <c r="AB8" s="6">
        <f t="shared" si="7"/>
        <v>0</v>
      </c>
      <c r="AC8" s="6">
        <f t="shared" si="8"/>
        <v>0</v>
      </c>
      <c r="AD8" s="6">
        <f>'Half yearly'!B8</f>
        <v>0</v>
      </c>
      <c r="AE8" s="6">
        <f>'Half yearly'!C8</f>
        <v>0</v>
      </c>
      <c r="AF8" s="6">
        <f>'Half yearly'!D8</f>
        <v>0</v>
      </c>
      <c r="AG8" s="6">
        <f>'Half yearly'!E8</f>
        <v>0</v>
      </c>
      <c r="AH8" s="6">
        <f t="shared" si="9"/>
        <v>0</v>
      </c>
      <c r="AI8" s="6">
        <f>Annual!B8</f>
        <v>0</v>
      </c>
      <c r="AJ8" s="6">
        <f>Annual!C8</f>
        <v>0</v>
      </c>
      <c r="AK8" s="6">
        <f>Annual!D8</f>
        <v>0</v>
      </c>
      <c r="AL8" s="6">
        <f>Annual!E8</f>
        <v>0</v>
      </c>
      <c r="AM8" s="10">
        <f t="shared" si="10"/>
        <v>0</v>
      </c>
      <c r="AN8" s="6">
        <f t="shared" si="11"/>
        <v>0</v>
      </c>
      <c r="AO8" s="6">
        <f t="shared" si="12"/>
        <v>0</v>
      </c>
      <c r="AP8" s="6">
        <f t="shared" si="13"/>
        <v>0</v>
      </c>
      <c r="AQ8" s="6">
        <f t="shared" si="14"/>
        <v>0</v>
      </c>
      <c r="AR8" s="6">
        <f t="shared" si="15"/>
        <v>0</v>
      </c>
      <c r="AS8" s="6">
        <f t="shared" si="16"/>
        <v>0</v>
      </c>
      <c r="AT8" s="6">
        <f t="shared" si="17"/>
        <v>0</v>
      </c>
      <c r="AU8" s="6">
        <f t="shared" si="18"/>
        <v>0</v>
      </c>
      <c r="AV8" s="6">
        <f t="shared" si="19"/>
        <v>0</v>
      </c>
      <c r="AW8" s="6">
        <f t="shared" si="20"/>
        <v>0</v>
      </c>
      <c r="AX8" s="6">
        <f t="shared" si="21"/>
        <v>0</v>
      </c>
      <c r="AY8" s="6">
        <f t="shared" si="22"/>
        <v>0</v>
      </c>
      <c r="AZ8" s="6">
        <f t="shared" si="23"/>
        <v>0</v>
      </c>
      <c r="BA8" s="6">
        <f t="shared" si="24"/>
        <v>0</v>
      </c>
      <c r="BB8" s="6">
        <f t="shared" si="25"/>
        <v>0</v>
      </c>
      <c r="BC8" s="6">
        <f t="shared" si="26"/>
        <v>0</v>
      </c>
      <c r="BD8" s="6">
        <f t="shared" si="27"/>
        <v>0</v>
      </c>
      <c r="BE8" s="6">
        <f t="shared" si="28"/>
        <v>0</v>
      </c>
      <c r="BF8" s="6">
        <f t="shared" si="29"/>
        <v>0</v>
      </c>
      <c r="BG8" s="11">
        <f t="shared" si="30"/>
        <v>0</v>
      </c>
      <c r="BH8" s="11">
        <f t="shared" si="31"/>
        <v>0</v>
      </c>
      <c r="BI8" s="6" t="str">
        <f t="shared" si="32"/>
        <v>FAIL</v>
      </c>
      <c r="BJ8" s="37"/>
    </row>
    <row r="9" spans="1:62" x14ac:dyDescent="0.3">
      <c r="A9" s="6"/>
      <c r="B9" s="6">
        <f>'Unit 1'!A9</f>
        <v>0</v>
      </c>
      <c r="C9" s="6">
        <f>'Unit 1'!B9</f>
        <v>0</v>
      </c>
      <c r="D9" s="6" t="str">
        <f>'Unit 1'!$G$2</f>
        <v>i</v>
      </c>
      <c r="E9" s="6">
        <f>'Unit 1'!C9</f>
        <v>0</v>
      </c>
      <c r="F9" s="6">
        <f>'Unit 1'!D9</f>
        <v>0</v>
      </c>
      <c r="G9" s="6">
        <f>'Unit 1'!E9</f>
        <v>0</v>
      </c>
      <c r="H9" s="6">
        <f>'Unit 1'!F9</f>
        <v>0</v>
      </c>
      <c r="I9" s="7">
        <f t="shared" si="0"/>
        <v>0</v>
      </c>
      <c r="J9" s="6">
        <f>'Unit 2'!B9</f>
        <v>0</v>
      </c>
      <c r="K9" s="6">
        <f>'Unit 2'!C9</f>
        <v>0</v>
      </c>
      <c r="L9" s="6">
        <f>'Unit 2'!D9</f>
        <v>0</v>
      </c>
      <c r="M9" s="6">
        <f>'Unit 2'!E9</f>
        <v>0</v>
      </c>
      <c r="N9" s="9">
        <f t="shared" si="1"/>
        <v>0</v>
      </c>
      <c r="O9" s="6">
        <f>'Unit 3'!B9</f>
        <v>0</v>
      </c>
      <c r="P9" s="6">
        <f>'Unit 3'!C9</f>
        <v>0</v>
      </c>
      <c r="Q9" s="6">
        <f>'Unit 3'!D9</f>
        <v>0</v>
      </c>
      <c r="R9" s="6">
        <f>'Unit 3'!E9</f>
        <v>0</v>
      </c>
      <c r="S9" s="8">
        <f t="shared" si="2"/>
        <v>0</v>
      </c>
      <c r="T9" s="6">
        <f>'Unit 4'!B9</f>
        <v>0</v>
      </c>
      <c r="U9" s="6">
        <f>'Unit 4'!C9</f>
        <v>0</v>
      </c>
      <c r="V9" s="6">
        <f>'Unit 4'!D9</f>
        <v>0</v>
      </c>
      <c r="W9" s="6">
        <f>'Unit 4'!E9</f>
        <v>0</v>
      </c>
      <c r="X9" s="9">
        <f t="shared" si="3"/>
        <v>0</v>
      </c>
      <c r="Y9" s="6">
        <f t="shared" si="4"/>
        <v>0</v>
      </c>
      <c r="Z9" s="6">
        <f t="shared" si="5"/>
        <v>0</v>
      </c>
      <c r="AA9" s="6">
        <f t="shared" si="6"/>
        <v>0</v>
      </c>
      <c r="AB9" s="6">
        <f t="shared" si="7"/>
        <v>0</v>
      </c>
      <c r="AC9" s="6">
        <f t="shared" si="8"/>
        <v>0</v>
      </c>
      <c r="AD9" s="6">
        <f>'Half yearly'!B9</f>
        <v>0</v>
      </c>
      <c r="AE9" s="6">
        <f>'Half yearly'!C9</f>
        <v>0</v>
      </c>
      <c r="AF9" s="6">
        <f>'Half yearly'!D9</f>
        <v>0</v>
      </c>
      <c r="AG9" s="6">
        <f>'Half yearly'!E9</f>
        <v>0</v>
      </c>
      <c r="AH9" s="6">
        <f t="shared" si="9"/>
        <v>0</v>
      </c>
      <c r="AI9" s="6">
        <f>Annual!B9</f>
        <v>0</v>
      </c>
      <c r="AJ9" s="6">
        <f>Annual!C9</f>
        <v>0</v>
      </c>
      <c r="AK9" s="6">
        <f>Annual!D9</f>
        <v>0</v>
      </c>
      <c r="AL9" s="6">
        <f>Annual!E9</f>
        <v>0</v>
      </c>
      <c r="AM9" s="10">
        <f t="shared" si="10"/>
        <v>0</v>
      </c>
      <c r="AN9" s="6">
        <f t="shared" si="11"/>
        <v>0</v>
      </c>
      <c r="AO9" s="6">
        <f t="shared" si="12"/>
        <v>0</v>
      </c>
      <c r="AP9" s="6">
        <f t="shared" si="13"/>
        <v>0</v>
      </c>
      <c r="AQ9" s="6">
        <f t="shared" si="14"/>
        <v>0</v>
      </c>
      <c r="AR9" s="6">
        <f t="shared" si="15"/>
        <v>0</v>
      </c>
      <c r="AS9" s="6">
        <f t="shared" si="16"/>
        <v>0</v>
      </c>
      <c r="AT9" s="6">
        <f t="shared" si="17"/>
        <v>0</v>
      </c>
      <c r="AU9" s="6">
        <f t="shared" si="18"/>
        <v>0</v>
      </c>
      <c r="AV9" s="6">
        <f t="shared" si="19"/>
        <v>0</v>
      </c>
      <c r="AW9" s="6">
        <f t="shared" si="20"/>
        <v>0</v>
      </c>
      <c r="AX9" s="6">
        <f t="shared" si="21"/>
        <v>0</v>
      </c>
      <c r="AY9" s="6">
        <f t="shared" si="22"/>
        <v>0</v>
      </c>
      <c r="AZ9" s="6">
        <f t="shared" si="23"/>
        <v>0</v>
      </c>
      <c r="BA9" s="6">
        <f t="shared" si="24"/>
        <v>0</v>
      </c>
      <c r="BB9" s="6">
        <f t="shared" si="25"/>
        <v>0</v>
      </c>
      <c r="BC9" s="6">
        <f t="shared" si="26"/>
        <v>0</v>
      </c>
      <c r="BD9" s="6">
        <f t="shared" si="27"/>
        <v>0</v>
      </c>
      <c r="BE9" s="6">
        <f t="shared" si="28"/>
        <v>0</v>
      </c>
      <c r="BF9" s="6">
        <f t="shared" si="29"/>
        <v>0</v>
      </c>
      <c r="BG9" s="11">
        <f t="shared" si="30"/>
        <v>0</v>
      </c>
      <c r="BH9" s="11">
        <f t="shared" si="31"/>
        <v>0</v>
      </c>
      <c r="BI9" s="6" t="str">
        <f t="shared" si="32"/>
        <v>FAIL</v>
      </c>
      <c r="BJ9" s="37"/>
    </row>
    <row r="10" spans="1:62" x14ac:dyDescent="0.3">
      <c r="A10" s="6"/>
      <c r="B10" s="6">
        <f>'Unit 1'!A10</f>
        <v>0</v>
      </c>
      <c r="C10" s="6">
        <f>'Unit 1'!B10</f>
        <v>0</v>
      </c>
      <c r="D10" s="6" t="str">
        <f>'Unit 1'!$G$2</f>
        <v>i</v>
      </c>
      <c r="E10" s="6">
        <f>'Unit 1'!C10</f>
        <v>0</v>
      </c>
      <c r="F10" s="6">
        <f>'Unit 1'!D10</f>
        <v>0</v>
      </c>
      <c r="G10" s="6">
        <f>'Unit 1'!E10</f>
        <v>0</v>
      </c>
      <c r="H10" s="6">
        <f>'Unit 1'!F10</f>
        <v>0</v>
      </c>
      <c r="I10" s="7">
        <f t="shared" si="0"/>
        <v>0</v>
      </c>
      <c r="J10" s="6">
        <f>'Unit 2'!B10</f>
        <v>0</v>
      </c>
      <c r="K10" s="6">
        <f>'Unit 2'!C10</f>
        <v>0</v>
      </c>
      <c r="L10" s="6">
        <f>'Unit 2'!D10</f>
        <v>0</v>
      </c>
      <c r="M10" s="6">
        <f>'Unit 2'!E10</f>
        <v>0</v>
      </c>
      <c r="N10" s="9">
        <f t="shared" si="1"/>
        <v>0</v>
      </c>
      <c r="O10" s="6">
        <f>'Unit 3'!B10</f>
        <v>0</v>
      </c>
      <c r="P10" s="6">
        <f>'Unit 3'!C10</f>
        <v>0</v>
      </c>
      <c r="Q10" s="6">
        <f>'Unit 3'!D10</f>
        <v>0</v>
      </c>
      <c r="R10" s="6">
        <f>'Unit 3'!E10</f>
        <v>0</v>
      </c>
      <c r="S10" s="8">
        <f t="shared" si="2"/>
        <v>0</v>
      </c>
      <c r="T10" s="6">
        <f>'Unit 4'!B10</f>
        <v>0</v>
      </c>
      <c r="U10" s="6">
        <f>'Unit 4'!C10</f>
        <v>0</v>
      </c>
      <c r="V10" s="6">
        <f>'Unit 4'!D10</f>
        <v>0</v>
      </c>
      <c r="W10" s="6">
        <f>'Unit 4'!E10</f>
        <v>0</v>
      </c>
      <c r="X10" s="9">
        <f t="shared" si="3"/>
        <v>0</v>
      </c>
      <c r="Y10" s="6">
        <f t="shared" si="4"/>
        <v>0</v>
      </c>
      <c r="Z10" s="6">
        <f t="shared" si="5"/>
        <v>0</v>
      </c>
      <c r="AA10" s="6">
        <f t="shared" si="6"/>
        <v>0</v>
      </c>
      <c r="AB10" s="6">
        <f t="shared" si="7"/>
        <v>0</v>
      </c>
      <c r="AC10" s="6">
        <f t="shared" si="8"/>
        <v>0</v>
      </c>
      <c r="AD10" s="6">
        <f>'Half yearly'!B10</f>
        <v>0</v>
      </c>
      <c r="AE10" s="6">
        <f>'Half yearly'!C10</f>
        <v>0</v>
      </c>
      <c r="AF10" s="6">
        <f>'Half yearly'!D10</f>
        <v>0</v>
      </c>
      <c r="AG10" s="6">
        <f>'Half yearly'!E10</f>
        <v>0</v>
      </c>
      <c r="AH10" s="6">
        <f t="shared" si="9"/>
        <v>0</v>
      </c>
      <c r="AI10" s="6">
        <f>Annual!B10</f>
        <v>0</v>
      </c>
      <c r="AJ10" s="6">
        <f>Annual!C10</f>
        <v>0</v>
      </c>
      <c r="AK10" s="6">
        <f>Annual!D10</f>
        <v>0</v>
      </c>
      <c r="AL10" s="6">
        <f>Annual!E10</f>
        <v>0</v>
      </c>
      <c r="AM10" s="10">
        <f t="shared" si="10"/>
        <v>0</v>
      </c>
      <c r="AN10" s="6">
        <f t="shared" si="11"/>
        <v>0</v>
      </c>
      <c r="AO10" s="6">
        <f t="shared" si="12"/>
        <v>0</v>
      </c>
      <c r="AP10" s="6">
        <f t="shared" si="13"/>
        <v>0</v>
      </c>
      <c r="AQ10" s="6">
        <f t="shared" si="14"/>
        <v>0</v>
      </c>
      <c r="AR10" s="6">
        <f t="shared" si="15"/>
        <v>0</v>
      </c>
      <c r="AS10" s="6">
        <f t="shared" si="16"/>
        <v>0</v>
      </c>
      <c r="AT10" s="6">
        <f t="shared" si="17"/>
        <v>0</v>
      </c>
      <c r="AU10" s="6">
        <f t="shared" si="18"/>
        <v>0</v>
      </c>
      <c r="AV10" s="6">
        <f t="shared" si="19"/>
        <v>0</v>
      </c>
      <c r="AW10" s="6">
        <f t="shared" si="20"/>
        <v>0</v>
      </c>
      <c r="AX10" s="6">
        <f t="shared" si="21"/>
        <v>0</v>
      </c>
      <c r="AY10" s="6">
        <f t="shared" si="22"/>
        <v>0</v>
      </c>
      <c r="AZ10" s="6">
        <f t="shared" si="23"/>
        <v>0</v>
      </c>
      <c r="BA10" s="6">
        <f t="shared" si="24"/>
        <v>0</v>
      </c>
      <c r="BB10" s="6">
        <f t="shared" si="25"/>
        <v>0</v>
      </c>
      <c r="BC10" s="6">
        <f t="shared" si="26"/>
        <v>0</v>
      </c>
      <c r="BD10" s="6">
        <f t="shared" si="27"/>
        <v>0</v>
      </c>
      <c r="BE10" s="6">
        <f t="shared" si="28"/>
        <v>0</v>
      </c>
      <c r="BF10" s="6">
        <f t="shared" si="29"/>
        <v>0</v>
      </c>
      <c r="BG10" s="11">
        <f t="shared" si="30"/>
        <v>0</v>
      </c>
      <c r="BH10" s="11">
        <f t="shared" si="31"/>
        <v>0</v>
      </c>
      <c r="BI10" s="6" t="str">
        <f t="shared" si="32"/>
        <v>FAIL</v>
      </c>
      <c r="BJ10" s="37"/>
    </row>
    <row r="11" spans="1:62" x14ac:dyDescent="0.3">
      <c r="A11" s="6"/>
      <c r="B11" s="6">
        <f>'Unit 1'!A11</f>
        <v>0</v>
      </c>
      <c r="C11" s="6">
        <f>'Unit 1'!B11</f>
        <v>0</v>
      </c>
      <c r="D11" s="6" t="str">
        <f>'Unit 1'!$G$2</f>
        <v>i</v>
      </c>
      <c r="E11" s="6">
        <f>'Unit 1'!C11</f>
        <v>0</v>
      </c>
      <c r="F11" s="6">
        <f>'Unit 1'!D11</f>
        <v>0</v>
      </c>
      <c r="G11" s="6">
        <f>'Unit 1'!E11</f>
        <v>0</v>
      </c>
      <c r="H11" s="6">
        <f>'Unit 1'!F11</f>
        <v>0</v>
      </c>
      <c r="I11" s="7">
        <f t="shared" si="0"/>
        <v>0</v>
      </c>
      <c r="J11" s="6">
        <f>'Unit 2'!B11</f>
        <v>0</v>
      </c>
      <c r="K11" s="6">
        <f>'Unit 2'!C11</f>
        <v>0</v>
      </c>
      <c r="L11" s="6">
        <f>'Unit 2'!D11</f>
        <v>0</v>
      </c>
      <c r="M11" s="6">
        <f>'Unit 2'!E11</f>
        <v>0</v>
      </c>
      <c r="N11" s="9">
        <f t="shared" si="1"/>
        <v>0</v>
      </c>
      <c r="O11" s="6">
        <f>'Unit 3'!B11</f>
        <v>0</v>
      </c>
      <c r="P11" s="6">
        <f>'Unit 3'!C11</f>
        <v>0</v>
      </c>
      <c r="Q11" s="6">
        <f>'Unit 3'!D11</f>
        <v>0</v>
      </c>
      <c r="R11" s="6">
        <f>'Unit 3'!E11</f>
        <v>0</v>
      </c>
      <c r="S11" s="8">
        <f t="shared" si="2"/>
        <v>0</v>
      </c>
      <c r="T11" s="6">
        <f>'Unit 4'!B11</f>
        <v>0</v>
      </c>
      <c r="U11" s="6">
        <f>'Unit 4'!C11</f>
        <v>0</v>
      </c>
      <c r="V11" s="6">
        <f>'Unit 4'!D11</f>
        <v>0</v>
      </c>
      <c r="W11" s="6">
        <f>'Unit 4'!E11</f>
        <v>0</v>
      </c>
      <c r="X11" s="9">
        <f t="shared" si="3"/>
        <v>0</v>
      </c>
      <c r="Y11" s="6">
        <f t="shared" si="4"/>
        <v>0</v>
      </c>
      <c r="Z11" s="6">
        <f t="shared" si="5"/>
        <v>0</v>
      </c>
      <c r="AA11" s="6">
        <f t="shared" si="6"/>
        <v>0</v>
      </c>
      <c r="AB11" s="6">
        <f t="shared" si="7"/>
        <v>0</v>
      </c>
      <c r="AC11" s="6">
        <f t="shared" si="8"/>
        <v>0</v>
      </c>
      <c r="AD11" s="6">
        <f>'Half yearly'!B11</f>
        <v>0</v>
      </c>
      <c r="AE11" s="6">
        <f>'Half yearly'!C11</f>
        <v>0</v>
      </c>
      <c r="AF11" s="6">
        <f>'Half yearly'!D11</f>
        <v>0</v>
      </c>
      <c r="AG11" s="6">
        <f>'Half yearly'!E11</f>
        <v>0</v>
      </c>
      <c r="AH11" s="6">
        <f t="shared" si="9"/>
        <v>0</v>
      </c>
      <c r="AI11" s="6">
        <f>Annual!B11</f>
        <v>0</v>
      </c>
      <c r="AJ11" s="6">
        <f>Annual!C11</f>
        <v>0</v>
      </c>
      <c r="AK11" s="6">
        <f>Annual!D11</f>
        <v>0</v>
      </c>
      <c r="AL11" s="6">
        <f>Annual!E11</f>
        <v>0</v>
      </c>
      <c r="AM11" s="10">
        <f t="shared" si="10"/>
        <v>0</v>
      </c>
      <c r="AN11" s="6">
        <f t="shared" si="11"/>
        <v>0</v>
      </c>
      <c r="AO11" s="6">
        <f t="shared" si="12"/>
        <v>0</v>
      </c>
      <c r="AP11" s="6">
        <f t="shared" si="13"/>
        <v>0</v>
      </c>
      <c r="AQ11" s="6">
        <f t="shared" si="14"/>
        <v>0</v>
      </c>
      <c r="AR11" s="6">
        <f t="shared" si="15"/>
        <v>0</v>
      </c>
      <c r="AS11" s="6">
        <f t="shared" si="16"/>
        <v>0</v>
      </c>
      <c r="AT11" s="6">
        <f t="shared" si="17"/>
        <v>0</v>
      </c>
      <c r="AU11" s="6">
        <f t="shared" si="18"/>
        <v>0</v>
      </c>
      <c r="AV11" s="6">
        <f t="shared" si="19"/>
        <v>0</v>
      </c>
      <c r="AW11" s="6">
        <f t="shared" si="20"/>
        <v>0</v>
      </c>
      <c r="AX11" s="6">
        <f t="shared" si="21"/>
        <v>0</v>
      </c>
      <c r="AY11" s="6">
        <f t="shared" si="22"/>
        <v>0</v>
      </c>
      <c r="AZ11" s="6">
        <f t="shared" si="23"/>
        <v>0</v>
      </c>
      <c r="BA11" s="6">
        <f t="shared" si="24"/>
        <v>0</v>
      </c>
      <c r="BB11" s="6">
        <f t="shared" si="25"/>
        <v>0</v>
      </c>
      <c r="BC11" s="6">
        <f t="shared" si="26"/>
        <v>0</v>
      </c>
      <c r="BD11" s="6">
        <f t="shared" si="27"/>
        <v>0</v>
      </c>
      <c r="BE11" s="6">
        <f t="shared" si="28"/>
        <v>0</v>
      </c>
      <c r="BF11" s="6">
        <f t="shared" si="29"/>
        <v>0</v>
      </c>
      <c r="BG11" s="11">
        <f t="shared" si="30"/>
        <v>0</v>
      </c>
      <c r="BH11" s="11">
        <f t="shared" si="31"/>
        <v>0</v>
      </c>
      <c r="BI11" s="6" t="str">
        <f t="shared" si="32"/>
        <v>FAIL</v>
      </c>
      <c r="BJ11" s="37"/>
    </row>
    <row r="12" spans="1:62" x14ac:dyDescent="0.3">
      <c r="A12" s="6"/>
      <c r="B12" s="6">
        <f>'Unit 1'!A12</f>
        <v>0</v>
      </c>
      <c r="C12" s="6">
        <f>'Unit 1'!B12</f>
        <v>0</v>
      </c>
      <c r="D12" s="6" t="str">
        <f>'Unit 1'!$G$2</f>
        <v>i</v>
      </c>
      <c r="E12" s="6">
        <f>'Unit 1'!C12</f>
        <v>0</v>
      </c>
      <c r="F12" s="6">
        <f>'Unit 1'!D12</f>
        <v>0</v>
      </c>
      <c r="G12" s="6">
        <f>'Unit 1'!E12</f>
        <v>0</v>
      </c>
      <c r="H12" s="6">
        <f>'Unit 1'!F12</f>
        <v>0</v>
      </c>
      <c r="I12" s="7">
        <f t="shared" si="0"/>
        <v>0</v>
      </c>
      <c r="J12" s="6">
        <f>'Unit 2'!B12</f>
        <v>0</v>
      </c>
      <c r="K12" s="6">
        <f>'Unit 2'!C12</f>
        <v>0</v>
      </c>
      <c r="L12" s="6">
        <f>'Unit 2'!D12</f>
        <v>0</v>
      </c>
      <c r="M12" s="6">
        <f>'Unit 2'!E12</f>
        <v>0</v>
      </c>
      <c r="N12" s="9">
        <f t="shared" si="1"/>
        <v>0</v>
      </c>
      <c r="O12" s="6">
        <f>'Unit 3'!B12</f>
        <v>0</v>
      </c>
      <c r="P12" s="6">
        <f>'Unit 3'!C12</f>
        <v>0</v>
      </c>
      <c r="Q12" s="6">
        <f>'Unit 3'!D12</f>
        <v>0</v>
      </c>
      <c r="R12" s="6">
        <f>'Unit 3'!E12</f>
        <v>0</v>
      </c>
      <c r="S12" s="8">
        <f t="shared" si="2"/>
        <v>0</v>
      </c>
      <c r="T12" s="6">
        <f>'Unit 4'!B12</f>
        <v>0</v>
      </c>
      <c r="U12" s="6">
        <f>'Unit 4'!C12</f>
        <v>0</v>
      </c>
      <c r="V12" s="6">
        <f>'Unit 4'!D12</f>
        <v>0</v>
      </c>
      <c r="W12" s="6">
        <f>'Unit 4'!E12</f>
        <v>0</v>
      </c>
      <c r="X12" s="9">
        <f t="shared" si="3"/>
        <v>0</v>
      </c>
      <c r="Y12" s="6">
        <f t="shared" si="4"/>
        <v>0</v>
      </c>
      <c r="Z12" s="6">
        <f t="shared" si="5"/>
        <v>0</v>
      </c>
      <c r="AA12" s="6">
        <f t="shared" si="6"/>
        <v>0</v>
      </c>
      <c r="AB12" s="6">
        <f t="shared" si="7"/>
        <v>0</v>
      </c>
      <c r="AC12" s="6">
        <f t="shared" si="8"/>
        <v>0</v>
      </c>
      <c r="AD12" s="6">
        <f>'Half yearly'!B12</f>
        <v>0</v>
      </c>
      <c r="AE12" s="6">
        <f>'Half yearly'!C12</f>
        <v>0</v>
      </c>
      <c r="AF12" s="6">
        <f>'Half yearly'!D12</f>
        <v>0</v>
      </c>
      <c r="AG12" s="6">
        <f>'Half yearly'!E12</f>
        <v>0</v>
      </c>
      <c r="AH12" s="6">
        <f t="shared" si="9"/>
        <v>0</v>
      </c>
      <c r="AI12" s="6">
        <f>Annual!B12</f>
        <v>0</v>
      </c>
      <c r="AJ12" s="6">
        <f>Annual!C12</f>
        <v>0</v>
      </c>
      <c r="AK12" s="6">
        <f>Annual!D12</f>
        <v>0</v>
      </c>
      <c r="AL12" s="6">
        <f>Annual!E12</f>
        <v>0</v>
      </c>
      <c r="AM12" s="10">
        <f t="shared" si="10"/>
        <v>0</v>
      </c>
      <c r="AN12" s="6">
        <f t="shared" si="11"/>
        <v>0</v>
      </c>
      <c r="AO12" s="6">
        <f t="shared" si="12"/>
        <v>0</v>
      </c>
      <c r="AP12" s="6">
        <f t="shared" si="13"/>
        <v>0</v>
      </c>
      <c r="AQ12" s="6">
        <f t="shared" si="14"/>
        <v>0</v>
      </c>
      <c r="AR12" s="6">
        <f t="shared" si="15"/>
        <v>0</v>
      </c>
      <c r="AS12" s="6">
        <f t="shared" si="16"/>
        <v>0</v>
      </c>
      <c r="AT12" s="6">
        <f t="shared" si="17"/>
        <v>0</v>
      </c>
      <c r="AU12" s="6">
        <f t="shared" si="18"/>
        <v>0</v>
      </c>
      <c r="AV12" s="6">
        <f t="shared" si="19"/>
        <v>0</v>
      </c>
      <c r="AW12" s="6">
        <f t="shared" si="20"/>
        <v>0</v>
      </c>
      <c r="AX12" s="6">
        <f t="shared" si="21"/>
        <v>0</v>
      </c>
      <c r="AY12" s="6">
        <f t="shared" si="22"/>
        <v>0</v>
      </c>
      <c r="AZ12" s="6">
        <f t="shared" si="23"/>
        <v>0</v>
      </c>
      <c r="BA12" s="6">
        <f t="shared" si="24"/>
        <v>0</v>
      </c>
      <c r="BB12" s="6">
        <f t="shared" si="25"/>
        <v>0</v>
      </c>
      <c r="BC12" s="6">
        <f t="shared" si="26"/>
        <v>0</v>
      </c>
      <c r="BD12" s="6">
        <f t="shared" si="27"/>
        <v>0</v>
      </c>
      <c r="BE12" s="6">
        <f t="shared" si="28"/>
        <v>0</v>
      </c>
      <c r="BF12" s="6">
        <f t="shared" si="29"/>
        <v>0</v>
      </c>
      <c r="BG12" s="11">
        <f t="shared" si="30"/>
        <v>0</v>
      </c>
      <c r="BH12" s="11">
        <f t="shared" si="31"/>
        <v>0</v>
      </c>
      <c r="BI12" s="6" t="str">
        <f t="shared" si="32"/>
        <v>FAIL</v>
      </c>
      <c r="BJ12" s="37"/>
    </row>
    <row r="13" spans="1:62" x14ac:dyDescent="0.3">
      <c r="A13" s="6"/>
      <c r="B13" s="6">
        <f>'Unit 1'!A13</f>
        <v>0</v>
      </c>
      <c r="C13" s="6">
        <f>'Unit 1'!B13</f>
        <v>0</v>
      </c>
      <c r="D13" s="6" t="str">
        <f>'Unit 1'!$G$2</f>
        <v>i</v>
      </c>
      <c r="E13" s="6">
        <f>'Unit 1'!C13</f>
        <v>0</v>
      </c>
      <c r="F13" s="6">
        <f>'Unit 1'!D13</f>
        <v>0</v>
      </c>
      <c r="G13" s="6">
        <f>'Unit 1'!E13</f>
        <v>0</v>
      </c>
      <c r="H13" s="6">
        <f>'Unit 1'!F13</f>
        <v>0</v>
      </c>
      <c r="I13" s="7">
        <f t="shared" si="0"/>
        <v>0</v>
      </c>
      <c r="J13" s="6">
        <f>'Unit 2'!B13</f>
        <v>0</v>
      </c>
      <c r="K13" s="6">
        <f>'Unit 2'!C13</f>
        <v>0</v>
      </c>
      <c r="L13" s="6">
        <f>'Unit 2'!D13</f>
        <v>0</v>
      </c>
      <c r="M13" s="6">
        <f>'Unit 2'!E13</f>
        <v>0</v>
      </c>
      <c r="N13" s="9">
        <f t="shared" si="1"/>
        <v>0</v>
      </c>
      <c r="O13" s="6">
        <f>'Unit 3'!B13</f>
        <v>0</v>
      </c>
      <c r="P13" s="6">
        <f>'Unit 3'!C13</f>
        <v>0</v>
      </c>
      <c r="Q13" s="6">
        <f>'Unit 3'!D13</f>
        <v>0</v>
      </c>
      <c r="R13" s="6">
        <f>'Unit 3'!E13</f>
        <v>0</v>
      </c>
      <c r="S13" s="8">
        <f t="shared" si="2"/>
        <v>0</v>
      </c>
      <c r="T13" s="6">
        <f>'Unit 4'!B13</f>
        <v>0</v>
      </c>
      <c r="U13" s="6">
        <f>'Unit 4'!C13</f>
        <v>0</v>
      </c>
      <c r="V13" s="6">
        <f>'Unit 4'!D13</f>
        <v>0</v>
      </c>
      <c r="W13" s="6">
        <f>'Unit 4'!E13</f>
        <v>0</v>
      </c>
      <c r="X13" s="9">
        <f t="shared" si="3"/>
        <v>0</v>
      </c>
      <c r="Y13" s="6">
        <f t="shared" si="4"/>
        <v>0</v>
      </c>
      <c r="Z13" s="6">
        <f t="shared" si="5"/>
        <v>0</v>
      </c>
      <c r="AA13" s="6">
        <f t="shared" si="6"/>
        <v>0</v>
      </c>
      <c r="AB13" s="6">
        <f t="shared" si="7"/>
        <v>0</v>
      </c>
      <c r="AC13" s="6">
        <f t="shared" si="8"/>
        <v>0</v>
      </c>
      <c r="AD13" s="6">
        <f>'Half yearly'!B13</f>
        <v>0</v>
      </c>
      <c r="AE13" s="6">
        <f>'Half yearly'!C13</f>
        <v>0</v>
      </c>
      <c r="AF13" s="6">
        <f>'Half yearly'!D13</f>
        <v>0</v>
      </c>
      <c r="AG13" s="6">
        <f>'Half yearly'!E13</f>
        <v>0</v>
      </c>
      <c r="AH13" s="6">
        <f t="shared" si="9"/>
        <v>0</v>
      </c>
      <c r="AI13" s="6">
        <f>Annual!B13</f>
        <v>0</v>
      </c>
      <c r="AJ13" s="6">
        <f>Annual!C13</f>
        <v>0</v>
      </c>
      <c r="AK13" s="6">
        <f>Annual!D13</f>
        <v>0</v>
      </c>
      <c r="AL13" s="6">
        <f>Annual!E13</f>
        <v>0</v>
      </c>
      <c r="AM13" s="10">
        <f t="shared" si="10"/>
        <v>0</v>
      </c>
      <c r="AN13" s="6">
        <f t="shared" si="11"/>
        <v>0</v>
      </c>
      <c r="AO13" s="6">
        <f t="shared" si="12"/>
        <v>0</v>
      </c>
      <c r="AP13" s="6">
        <f t="shared" si="13"/>
        <v>0</v>
      </c>
      <c r="AQ13" s="6">
        <f t="shared" si="14"/>
        <v>0</v>
      </c>
      <c r="AR13" s="6">
        <f t="shared" si="15"/>
        <v>0</v>
      </c>
      <c r="AS13" s="6">
        <f t="shared" si="16"/>
        <v>0</v>
      </c>
      <c r="AT13" s="6">
        <f t="shared" si="17"/>
        <v>0</v>
      </c>
      <c r="AU13" s="6">
        <f t="shared" si="18"/>
        <v>0</v>
      </c>
      <c r="AV13" s="6">
        <f t="shared" si="19"/>
        <v>0</v>
      </c>
      <c r="AW13" s="6">
        <f t="shared" si="20"/>
        <v>0</v>
      </c>
      <c r="AX13" s="6">
        <f t="shared" si="21"/>
        <v>0</v>
      </c>
      <c r="AY13" s="6">
        <f t="shared" si="22"/>
        <v>0</v>
      </c>
      <c r="AZ13" s="6">
        <f t="shared" si="23"/>
        <v>0</v>
      </c>
      <c r="BA13" s="6">
        <f t="shared" si="24"/>
        <v>0</v>
      </c>
      <c r="BB13" s="6">
        <f t="shared" si="25"/>
        <v>0</v>
      </c>
      <c r="BC13" s="6">
        <f t="shared" si="26"/>
        <v>0</v>
      </c>
      <c r="BD13" s="6">
        <f t="shared" si="27"/>
        <v>0</v>
      </c>
      <c r="BE13" s="6">
        <f t="shared" si="28"/>
        <v>0</v>
      </c>
      <c r="BF13" s="6">
        <f t="shared" si="29"/>
        <v>0</v>
      </c>
      <c r="BG13" s="11">
        <f t="shared" si="30"/>
        <v>0</v>
      </c>
      <c r="BH13" s="11">
        <f t="shared" si="31"/>
        <v>0</v>
      </c>
      <c r="BI13" s="6" t="str">
        <f t="shared" si="32"/>
        <v>FAIL</v>
      </c>
      <c r="BJ13" s="37"/>
    </row>
    <row r="14" spans="1:62" x14ac:dyDescent="0.3">
      <c r="A14" s="6"/>
      <c r="B14" s="6">
        <f>'Unit 1'!A14</f>
        <v>0</v>
      </c>
      <c r="C14" s="6">
        <f>'Unit 1'!B14</f>
        <v>0</v>
      </c>
      <c r="D14" s="6" t="str">
        <f>'Unit 1'!$G$2</f>
        <v>i</v>
      </c>
      <c r="E14" s="6">
        <f>'Unit 1'!C14</f>
        <v>0</v>
      </c>
      <c r="F14" s="6">
        <f>'Unit 1'!D14</f>
        <v>0</v>
      </c>
      <c r="G14" s="6">
        <f>'Unit 1'!E14</f>
        <v>0</v>
      </c>
      <c r="H14" s="6">
        <f>'Unit 1'!F14</f>
        <v>0</v>
      </c>
      <c r="I14" s="7">
        <f t="shared" si="0"/>
        <v>0</v>
      </c>
      <c r="J14" s="6">
        <f>'Unit 2'!B14</f>
        <v>0</v>
      </c>
      <c r="K14" s="6">
        <f>'Unit 2'!C14</f>
        <v>0</v>
      </c>
      <c r="L14" s="6">
        <f>'Unit 2'!D14</f>
        <v>0</v>
      </c>
      <c r="M14" s="6">
        <f>'Unit 2'!E14</f>
        <v>0</v>
      </c>
      <c r="N14" s="9">
        <f t="shared" si="1"/>
        <v>0</v>
      </c>
      <c r="O14" s="6">
        <f>'Unit 3'!B14</f>
        <v>0</v>
      </c>
      <c r="P14" s="6">
        <f>'Unit 3'!C14</f>
        <v>0</v>
      </c>
      <c r="Q14" s="6">
        <f>'Unit 3'!D14</f>
        <v>0</v>
      </c>
      <c r="R14" s="6">
        <f>'Unit 3'!E14</f>
        <v>0</v>
      </c>
      <c r="S14" s="8">
        <f t="shared" si="2"/>
        <v>0</v>
      </c>
      <c r="T14" s="6">
        <f>'Unit 4'!B14</f>
        <v>0</v>
      </c>
      <c r="U14" s="6">
        <f>'Unit 4'!C14</f>
        <v>0</v>
      </c>
      <c r="V14" s="6">
        <f>'Unit 4'!D14</f>
        <v>0</v>
      </c>
      <c r="W14" s="6">
        <f>'Unit 4'!E14</f>
        <v>0</v>
      </c>
      <c r="X14" s="9">
        <f t="shared" si="3"/>
        <v>0</v>
      </c>
      <c r="Y14" s="6">
        <f t="shared" si="4"/>
        <v>0</v>
      </c>
      <c r="Z14" s="6">
        <f t="shared" si="5"/>
        <v>0</v>
      </c>
      <c r="AA14" s="6">
        <f t="shared" si="6"/>
        <v>0</v>
      </c>
      <c r="AB14" s="6">
        <f t="shared" si="7"/>
        <v>0</v>
      </c>
      <c r="AC14" s="6">
        <f t="shared" si="8"/>
        <v>0</v>
      </c>
      <c r="AD14" s="6">
        <f>'Half yearly'!B14</f>
        <v>0</v>
      </c>
      <c r="AE14" s="6">
        <f>'Half yearly'!C14</f>
        <v>0</v>
      </c>
      <c r="AF14" s="6">
        <f>'Half yearly'!D14</f>
        <v>0</v>
      </c>
      <c r="AG14" s="6">
        <f>'Half yearly'!E14</f>
        <v>0</v>
      </c>
      <c r="AH14" s="6">
        <f t="shared" si="9"/>
        <v>0</v>
      </c>
      <c r="AI14" s="6">
        <f>Annual!B14</f>
        <v>0</v>
      </c>
      <c r="AJ14" s="6">
        <f>Annual!C14</f>
        <v>0</v>
      </c>
      <c r="AK14" s="6">
        <f>Annual!D14</f>
        <v>0</v>
      </c>
      <c r="AL14" s="6">
        <f>Annual!E14</f>
        <v>0</v>
      </c>
      <c r="AM14" s="10">
        <f t="shared" si="10"/>
        <v>0</v>
      </c>
      <c r="AN14" s="6">
        <f t="shared" si="11"/>
        <v>0</v>
      </c>
      <c r="AO14" s="6">
        <f t="shared" si="12"/>
        <v>0</v>
      </c>
      <c r="AP14" s="6">
        <f t="shared" si="13"/>
        <v>0</v>
      </c>
      <c r="AQ14" s="6">
        <f t="shared" si="14"/>
        <v>0</v>
      </c>
      <c r="AR14" s="6">
        <f t="shared" si="15"/>
        <v>0</v>
      </c>
      <c r="AS14" s="6">
        <f t="shared" si="16"/>
        <v>0</v>
      </c>
      <c r="AT14" s="6">
        <f t="shared" si="17"/>
        <v>0</v>
      </c>
      <c r="AU14" s="6">
        <f t="shared" si="18"/>
        <v>0</v>
      </c>
      <c r="AV14" s="6">
        <f t="shared" si="19"/>
        <v>0</v>
      </c>
      <c r="AW14" s="6">
        <f t="shared" si="20"/>
        <v>0</v>
      </c>
      <c r="AX14" s="6">
        <f t="shared" si="21"/>
        <v>0</v>
      </c>
      <c r="AY14" s="6">
        <f t="shared" si="22"/>
        <v>0</v>
      </c>
      <c r="AZ14" s="6">
        <f t="shared" si="23"/>
        <v>0</v>
      </c>
      <c r="BA14" s="6">
        <f t="shared" si="24"/>
        <v>0</v>
      </c>
      <c r="BB14" s="6">
        <f t="shared" si="25"/>
        <v>0</v>
      </c>
      <c r="BC14" s="6">
        <f t="shared" si="26"/>
        <v>0</v>
      </c>
      <c r="BD14" s="6">
        <f t="shared" si="27"/>
        <v>0</v>
      </c>
      <c r="BE14" s="6">
        <f t="shared" si="28"/>
        <v>0</v>
      </c>
      <c r="BF14" s="6">
        <f t="shared" si="29"/>
        <v>0</v>
      </c>
      <c r="BG14" s="11">
        <f t="shared" si="30"/>
        <v>0</v>
      </c>
      <c r="BH14" s="11">
        <f t="shared" si="31"/>
        <v>0</v>
      </c>
      <c r="BI14" s="6" t="str">
        <f t="shared" si="32"/>
        <v>FAIL</v>
      </c>
      <c r="BJ14" s="37"/>
    </row>
    <row r="15" spans="1:62" x14ac:dyDescent="0.3">
      <c r="A15" s="6"/>
      <c r="B15" s="6">
        <f>'Unit 1'!A15</f>
        <v>0</v>
      </c>
      <c r="C15" s="6">
        <f>'Unit 1'!B15</f>
        <v>0</v>
      </c>
      <c r="D15" s="6" t="str">
        <f>'Unit 1'!$G$2</f>
        <v>i</v>
      </c>
      <c r="E15" s="6">
        <f>'Unit 1'!C15</f>
        <v>0</v>
      </c>
      <c r="F15" s="6">
        <f>'Unit 1'!D15</f>
        <v>0</v>
      </c>
      <c r="G15" s="6">
        <f>'Unit 1'!E15</f>
        <v>0</v>
      </c>
      <c r="H15" s="6">
        <f>'Unit 1'!F15</f>
        <v>0</v>
      </c>
      <c r="I15" s="7">
        <f t="shared" si="0"/>
        <v>0</v>
      </c>
      <c r="J15" s="6">
        <f>'Unit 2'!B15</f>
        <v>0</v>
      </c>
      <c r="K15" s="6">
        <f>'Unit 2'!C15</f>
        <v>0</v>
      </c>
      <c r="L15" s="6">
        <f>'Unit 2'!D15</f>
        <v>0</v>
      </c>
      <c r="M15" s="6">
        <f>'Unit 2'!E15</f>
        <v>0</v>
      </c>
      <c r="N15" s="9">
        <f t="shared" si="1"/>
        <v>0</v>
      </c>
      <c r="O15" s="6">
        <f>'Unit 3'!B15</f>
        <v>0</v>
      </c>
      <c r="P15" s="6">
        <f>'Unit 3'!C15</f>
        <v>0</v>
      </c>
      <c r="Q15" s="6">
        <f>'Unit 3'!D15</f>
        <v>0</v>
      </c>
      <c r="R15" s="6">
        <f>'Unit 3'!E15</f>
        <v>0</v>
      </c>
      <c r="S15" s="8">
        <f t="shared" si="2"/>
        <v>0</v>
      </c>
      <c r="T15" s="6">
        <f>'Unit 4'!B15</f>
        <v>0</v>
      </c>
      <c r="U15" s="6">
        <f>'Unit 4'!C15</f>
        <v>0</v>
      </c>
      <c r="V15" s="6">
        <f>'Unit 4'!D15</f>
        <v>0</v>
      </c>
      <c r="W15" s="6">
        <f>'Unit 4'!E15</f>
        <v>0</v>
      </c>
      <c r="X15" s="9">
        <f t="shared" si="3"/>
        <v>0</v>
      </c>
      <c r="Y15" s="6">
        <f t="shared" si="4"/>
        <v>0</v>
      </c>
      <c r="Z15" s="6">
        <f t="shared" si="5"/>
        <v>0</v>
      </c>
      <c r="AA15" s="6">
        <f t="shared" si="6"/>
        <v>0</v>
      </c>
      <c r="AB15" s="6">
        <f t="shared" si="7"/>
        <v>0</v>
      </c>
      <c r="AC15" s="6">
        <f t="shared" si="8"/>
        <v>0</v>
      </c>
      <c r="AD15" s="6">
        <f>'Half yearly'!B15</f>
        <v>0</v>
      </c>
      <c r="AE15" s="6">
        <f>'Half yearly'!C15</f>
        <v>0</v>
      </c>
      <c r="AF15" s="6">
        <f>'Half yearly'!D15</f>
        <v>0</v>
      </c>
      <c r="AG15" s="6">
        <f>'Half yearly'!E15</f>
        <v>0</v>
      </c>
      <c r="AH15" s="6">
        <f t="shared" si="9"/>
        <v>0</v>
      </c>
      <c r="AI15" s="6">
        <f>Annual!B15</f>
        <v>0</v>
      </c>
      <c r="AJ15" s="6">
        <f>Annual!C15</f>
        <v>0</v>
      </c>
      <c r="AK15" s="6">
        <f>Annual!D15</f>
        <v>0</v>
      </c>
      <c r="AL15" s="6">
        <f>Annual!E15</f>
        <v>0</v>
      </c>
      <c r="AM15" s="10">
        <f t="shared" si="10"/>
        <v>0</v>
      </c>
      <c r="AN15" s="6">
        <f t="shared" si="11"/>
        <v>0</v>
      </c>
      <c r="AO15" s="6">
        <f t="shared" si="12"/>
        <v>0</v>
      </c>
      <c r="AP15" s="6">
        <f t="shared" si="13"/>
        <v>0</v>
      </c>
      <c r="AQ15" s="6">
        <f t="shared" si="14"/>
        <v>0</v>
      </c>
      <c r="AR15" s="6">
        <f t="shared" si="15"/>
        <v>0</v>
      </c>
      <c r="AS15" s="6">
        <f t="shared" si="16"/>
        <v>0</v>
      </c>
      <c r="AT15" s="6">
        <f t="shared" si="17"/>
        <v>0</v>
      </c>
      <c r="AU15" s="6">
        <f t="shared" si="18"/>
        <v>0</v>
      </c>
      <c r="AV15" s="6">
        <f t="shared" si="19"/>
        <v>0</v>
      </c>
      <c r="AW15" s="6">
        <f t="shared" si="20"/>
        <v>0</v>
      </c>
      <c r="AX15" s="6">
        <f t="shared" si="21"/>
        <v>0</v>
      </c>
      <c r="AY15" s="6">
        <f t="shared" si="22"/>
        <v>0</v>
      </c>
      <c r="AZ15" s="6">
        <f t="shared" si="23"/>
        <v>0</v>
      </c>
      <c r="BA15" s="6">
        <f t="shared" si="24"/>
        <v>0</v>
      </c>
      <c r="BB15" s="6">
        <f t="shared" si="25"/>
        <v>0</v>
      </c>
      <c r="BC15" s="6">
        <f t="shared" si="26"/>
        <v>0</v>
      </c>
      <c r="BD15" s="6">
        <f t="shared" si="27"/>
        <v>0</v>
      </c>
      <c r="BE15" s="6">
        <f t="shared" si="28"/>
        <v>0</v>
      </c>
      <c r="BF15" s="6">
        <f t="shared" si="29"/>
        <v>0</v>
      </c>
      <c r="BG15" s="11">
        <f t="shared" si="30"/>
        <v>0</v>
      </c>
      <c r="BH15" s="11">
        <f t="shared" si="31"/>
        <v>0</v>
      </c>
      <c r="BI15" s="6" t="str">
        <f t="shared" si="32"/>
        <v>FAIL</v>
      </c>
      <c r="BJ15" s="37"/>
    </row>
    <row r="16" spans="1:62" x14ac:dyDescent="0.3">
      <c r="A16" s="6"/>
      <c r="B16" s="6">
        <f>'Unit 1'!A16</f>
        <v>0</v>
      </c>
      <c r="C16" s="6">
        <f>'Unit 1'!B16</f>
        <v>0</v>
      </c>
      <c r="D16" s="6" t="str">
        <f>'Unit 1'!$G$2</f>
        <v>i</v>
      </c>
      <c r="E16" s="6">
        <f>'Unit 1'!C16</f>
        <v>0</v>
      </c>
      <c r="F16" s="6">
        <f>'Unit 1'!D16</f>
        <v>0</v>
      </c>
      <c r="G16" s="6">
        <f>'Unit 1'!E16</f>
        <v>0</v>
      </c>
      <c r="H16" s="6">
        <f>'Unit 1'!F16</f>
        <v>0</v>
      </c>
      <c r="I16" s="7">
        <f t="shared" si="0"/>
        <v>0</v>
      </c>
      <c r="J16" s="6">
        <f>'Unit 2'!B16</f>
        <v>0</v>
      </c>
      <c r="K16" s="6">
        <f>'Unit 2'!C16</f>
        <v>0</v>
      </c>
      <c r="L16" s="6">
        <f>'Unit 2'!D16</f>
        <v>0</v>
      </c>
      <c r="M16" s="6">
        <f>'Unit 2'!E16</f>
        <v>0</v>
      </c>
      <c r="N16" s="9">
        <f t="shared" si="1"/>
        <v>0</v>
      </c>
      <c r="O16" s="6">
        <f>'Unit 3'!B16</f>
        <v>0</v>
      </c>
      <c r="P16" s="6">
        <f>'Unit 3'!C16</f>
        <v>0</v>
      </c>
      <c r="Q16" s="6">
        <f>'Unit 3'!D16</f>
        <v>0</v>
      </c>
      <c r="R16" s="6">
        <f>'Unit 3'!E16</f>
        <v>0</v>
      </c>
      <c r="S16" s="8">
        <f t="shared" si="2"/>
        <v>0</v>
      </c>
      <c r="T16" s="6">
        <f>'Unit 4'!B16</f>
        <v>0</v>
      </c>
      <c r="U16" s="6">
        <f>'Unit 4'!C16</f>
        <v>0</v>
      </c>
      <c r="V16" s="6">
        <f>'Unit 4'!D16</f>
        <v>0</v>
      </c>
      <c r="W16" s="6">
        <f>'Unit 4'!E16</f>
        <v>0</v>
      </c>
      <c r="X16" s="9">
        <f t="shared" si="3"/>
        <v>0</v>
      </c>
      <c r="Y16" s="6">
        <f t="shared" si="4"/>
        <v>0</v>
      </c>
      <c r="Z16" s="6">
        <f t="shared" si="5"/>
        <v>0</v>
      </c>
      <c r="AA16" s="6">
        <f t="shared" si="6"/>
        <v>0</v>
      </c>
      <c r="AB16" s="6">
        <f t="shared" si="7"/>
        <v>0</v>
      </c>
      <c r="AC16" s="6">
        <f t="shared" si="8"/>
        <v>0</v>
      </c>
      <c r="AD16" s="6">
        <f>'Half yearly'!B16</f>
        <v>0</v>
      </c>
      <c r="AE16" s="6">
        <f>'Half yearly'!C16</f>
        <v>0</v>
      </c>
      <c r="AF16" s="6">
        <f>'Half yearly'!D16</f>
        <v>0</v>
      </c>
      <c r="AG16" s="6">
        <f>'Half yearly'!E16</f>
        <v>0</v>
      </c>
      <c r="AH16" s="6">
        <f t="shared" si="9"/>
        <v>0</v>
      </c>
      <c r="AI16" s="6">
        <f>Annual!B16</f>
        <v>0</v>
      </c>
      <c r="AJ16" s="6">
        <f>Annual!C16</f>
        <v>0</v>
      </c>
      <c r="AK16" s="6">
        <f>Annual!D16</f>
        <v>0</v>
      </c>
      <c r="AL16" s="6">
        <f>Annual!E16</f>
        <v>0</v>
      </c>
      <c r="AM16" s="10">
        <f t="shared" si="10"/>
        <v>0</v>
      </c>
      <c r="AN16" s="6">
        <f t="shared" si="11"/>
        <v>0</v>
      </c>
      <c r="AO16" s="6">
        <f t="shared" si="12"/>
        <v>0</v>
      </c>
      <c r="AP16" s="6">
        <f t="shared" si="13"/>
        <v>0</v>
      </c>
      <c r="AQ16" s="6">
        <f t="shared" si="14"/>
        <v>0</v>
      </c>
      <c r="AR16" s="6">
        <f t="shared" si="15"/>
        <v>0</v>
      </c>
      <c r="AS16" s="6">
        <f t="shared" si="16"/>
        <v>0</v>
      </c>
      <c r="AT16" s="6">
        <f t="shared" si="17"/>
        <v>0</v>
      </c>
      <c r="AU16" s="6">
        <f t="shared" si="18"/>
        <v>0</v>
      </c>
      <c r="AV16" s="6">
        <f t="shared" si="19"/>
        <v>0</v>
      </c>
      <c r="AW16" s="6">
        <f t="shared" si="20"/>
        <v>0</v>
      </c>
      <c r="AX16" s="6">
        <f t="shared" si="21"/>
        <v>0</v>
      </c>
      <c r="AY16" s="6">
        <f t="shared" si="22"/>
        <v>0</v>
      </c>
      <c r="AZ16" s="6">
        <f t="shared" si="23"/>
        <v>0</v>
      </c>
      <c r="BA16" s="6">
        <f t="shared" si="24"/>
        <v>0</v>
      </c>
      <c r="BB16" s="6">
        <f t="shared" si="25"/>
        <v>0</v>
      </c>
      <c r="BC16" s="6">
        <f t="shared" si="26"/>
        <v>0</v>
      </c>
      <c r="BD16" s="6">
        <f t="shared" si="27"/>
        <v>0</v>
      </c>
      <c r="BE16" s="6">
        <f t="shared" si="28"/>
        <v>0</v>
      </c>
      <c r="BF16" s="6">
        <f t="shared" si="29"/>
        <v>0</v>
      </c>
      <c r="BG16" s="11">
        <f t="shared" si="30"/>
        <v>0</v>
      </c>
      <c r="BH16" s="11">
        <f t="shared" si="31"/>
        <v>0</v>
      </c>
      <c r="BI16" s="6" t="str">
        <f t="shared" si="32"/>
        <v>FAIL</v>
      </c>
      <c r="BJ16" s="37"/>
    </row>
    <row r="17" spans="1:62" x14ac:dyDescent="0.3">
      <c r="A17" s="6"/>
      <c r="B17" s="6">
        <f>'Unit 1'!A17</f>
        <v>0</v>
      </c>
      <c r="C17" s="6">
        <f>'Unit 1'!B17</f>
        <v>0</v>
      </c>
      <c r="D17" s="6" t="str">
        <f>'Unit 1'!$G$2</f>
        <v>i</v>
      </c>
      <c r="E17" s="6">
        <f>'Unit 1'!C17</f>
        <v>0</v>
      </c>
      <c r="F17" s="6">
        <f>'Unit 1'!D17</f>
        <v>0</v>
      </c>
      <c r="G17" s="6">
        <f>'Unit 1'!E17</f>
        <v>0</v>
      </c>
      <c r="H17" s="6">
        <f>'Unit 1'!F17</f>
        <v>0</v>
      </c>
      <c r="I17" s="7">
        <f t="shared" si="0"/>
        <v>0</v>
      </c>
      <c r="J17" s="6">
        <f>'Unit 2'!B17</f>
        <v>0</v>
      </c>
      <c r="K17" s="6">
        <f>'Unit 2'!C17</f>
        <v>0</v>
      </c>
      <c r="L17" s="6">
        <f>'Unit 2'!D17</f>
        <v>0</v>
      </c>
      <c r="M17" s="6">
        <f>'Unit 2'!E17</f>
        <v>0</v>
      </c>
      <c r="N17" s="9">
        <f t="shared" si="1"/>
        <v>0</v>
      </c>
      <c r="O17" s="6">
        <f>'Unit 3'!B17</f>
        <v>0</v>
      </c>
      <c r="P17" s="6">
        <f>'Unit 3'!C17</f>
        <v>0</v>
      </c>
      <c r="Q17" s="6">
        <f>'Unit 3'!D17</f>
        <v>0</v>
      </c>
      <c r="R17" s="6">
        <f>'Unit 3'!E17</f>
        <v>0</v>
      </c>
      <c r="S17" s="8">
        <f t="shared" si="2"/>
        <v>0</v>
      </c>
      <c r="T17" s="6">
        <f>'Unit 4'!B17</f>
        <v>0</v>
      </c>
      <c r="U17" s="6">
        <f>'Unit 4'!C17</f>
        <v>0</v>
      </c>
      <c r="V17" s="6">
        <f>'Unit 4'!D17</f>
        <v>0</v>
      </c>
      <c r="W17" s="6">
        <f>'Unit 4'!E17</f>
        <v>0</v>
      </c>
      <c r="X17" s="9">
        <f t="shared" si="3"/>
        <v>0</v>
      </c>
      <c r="Y17" s="6">
        <f t="shared" si="4"/>
        <v>0</v>
      </c>
      <c r="Z17" s="6">
        <f t="shared" si="5"/>
        <v>0</v>
      </c>
      <c r="AA17" s="6">
        <f t="shared" si="6"/>
        <v>0</v>
      </c>
      <c r="AB17" s="6">
        <f t="shared" si="7"/>
        <v>0</v>
      </c>
      <c r="AC17" s="6">
        <f t="shared" si="8"/>
        <v>0</v>
      </c>
      <c r="AD17" s="6">
        <f>'Half yearly'!B17</f>
        <v>0</v>
      </c>
      <c r="AE17" s="6">
        <f>'Half yearly'!C17</f>
        <v>0</v>
      </c>
      <c r="AF17" s="6">
        <f>'Half yearly'!D17</f>
        <v>0</v>
      </c>
      <c r="AG17" s="6">
        <f>'Half yearly'!E17</f>
        <v>0</v>
      </c>
      <c r="AH17" s="6">
        <f t="shared" si="9"/>
        <v>0</v>
      </c>
      <c r="AI17" s="6">
        <f>Annual!B17</f>
        <v>0</v>
      </c>
      <c r="AJ17" s="6">
        <f>Annual!C17</f>
        <v>0</v>
      </c>
      <c r="AK17" s="6">
        <f>Annual!D17</f>
        <v>0</v>
      </c>
      <c r="AL17" s="6">
        <f>Annual!E17</f>
        <v>0</v>
      </c>
      <c r="AM17" s="10">
        <f t="shared" si="10"/>
        <v>0</v>
      </c>
      <c r="AN17" s="6">
        <f t="shared" si="11"/>
        <v>0</v>
      </c>
      <c r="AO17" s="6">
        <f t="shared" si="12"/>
        <v>0</v>
      </c>
      <c r="AP17" s="6">
        <f t="shared" si="13"/>
        <v>0</v>
      </c>
      <c r="AQ17" s="6">
        <f t="shared" si="14"/>
        <v>0</v>
      </c>
      <c r="AR17" s="6">
        <f t="shared" si="15"/>
        <v>0</v>
      </c>
      <c r="AS17" s="6">
        <f t="shared" si="16"/>
        <v>0</v>
      </c>
      <c r="AT17" s="6">
        <f t="shared" si="17"/>
        <v>0</v>
      </c>
      <c r="AU17" s="6">
        <f t="shared" si="18"/>
        <v>0</v>
      </c>
      <c r="AV17" s="6">
        <f t="shared" si="19"/>
        <v>0</v>
      </c>
      <c r="AW17" s="6">
        <f t="shared" si="20"/>
        <v>0</v>
      </c>
      <c r="AX17" s="6">
        <f t="shared" si="21"/>
        <v>0</v>
      </c>
      <c r="AY17" s="6">
        <f t="shared" si="22"/>
        <v>0</v>
      </c>
      <c r="AZ17" s="6">
        <f t="shared" si="23"/>
        <v>0</v>
      </c>
      <c r="BA17" s="6">
        <f t="shared" si="24"/>
        <v>0</v>
      </c>
      <c r="BB17" s="6">
        <f t="shared" si="25"/>
        <v>0</v>
      </c>
      <c r="BC17" s="6">
        <f t="shared" si="26"/>
        <v>0</v>
      </c>
      <c r="BD17" s="6">
        <f t="shared" si="27"/>
        <v>0</v>
      </c>
      <c r="BE17" s="6">
        <f t="shared" si="28"/>
        <v>0</v>
      </c>
      <c r="BF17" s="6">
        <f t="shared" si="29"/>
        <v>0</v>
      </c>
      <c r="BG17" s="11">
        <f t="shared" si="30"/>
        <v>0</v>
      </c>
      <c r="BH17" s="11">
        <f t="shared" si="31"/>
        <v>0</v>
      </c>
      <c r="BI17" s="6" t="str">
        <f t="shared" si="32"/>
        <v>FAIL</v>
      </c>
      <c r="BJ17" s="37"/>
    </row>
    <row r="18" spans="1:62" x14ac:dyDescent="0.3">
      <c r="A18" s="6"/>
      <c r="B18" s="6">
        <f>'Unit 1'!A18</f>
        <v>0</v>
      </c>
      <c r="C18" s="6">
        <f>'Unit 1'!B18</f>
        <v>0</v>
      </c>
      <c r="D18" s="6" t="str">
        <f>'Unit 1'!$G$2</f>
        <v>i</v>
      </c>
      <c r="E18" s="6">
        <f>'Unit 1'!C18</f>
        <v>0</v>
      </c>
      <c r="F18" s="6">
        <f>'Unit 1'!D18</f>
        <v>0</v>
      </c>
      <c r="G18" s="6">
        <f>'Unit 1'!E18</f>
        <v>0</v>
      </c>
      <c r="H18" s="6">
        <f>'Unit 1'!F18</f>
        <v>0</v>
      </c>
      <c r="I18" s="7">
        <f t="shared" si="0"/>
        <v>0</v>
      </c>
      <c r="J18" s="6">
        <f>'Unit 2'!B18</f>
        <v>0</v>
      </c>
      <c r="K18" s="6">
        <f>'Unit 2'!C18</f>
        <v>0</v>
      </c>
      <c r="L18" s="6">
        <f>'Unit 2'!D18</f>
        <v>0</v>
      </c>
      <c r="M18" s="6">
        <f>'Unit 2'!E18</f>
        <v>0</v>
      </c>
      <c r="N18" s="9">
        <f t="shared" si="1"/>
        <v>0</v>
      </c>
      <c r="O18" s="6">
        <f>'Unit 3'!B18</f>
        <v>0</v>
      </c>
      <c r="P18" s="6">
        <f>'Unit 3'!C18</f>
        <v>0</v>
      </c>
      <c r="Q18" s="6">
        <f>'Unit 3'!D18</f>
        <v>0</v>
      </c>
      <c r="R18" s="6">
        <f>'Unit 3'!E18</f>
        <v>0</v>
      </c>
      <c r="S18" s="8">
        <f t="shared" si="2"/>
        <v>0</v>
      </c>
      <c r="T18" s="6">
        <f>'Unit 4'!B18</f>
        <v>0</v>
      </c>
      <c r="U18" s="6">
        <f>'Unit 4'!C18</f>
        <v>0</v>
      </c>
      <c r="V18" s="6">
        <f>'Unit 4'!D18</f>
        <v>0</v>
      </c>
      <c r="W18" s="6">
        <f>'Unit 4'!E18</f>
        <v>0</v>
      </c>
      <c r="X18" s="9">
        <f t="shared" si="3"/>
        <v>0</v>
      </c>
      <c r="Y18" s="6">
        <f t="shared" si="4"/>
        <v>0</v>
      </c>
      <c r="Z18" s="6">
        <f t="shared" si="5"/>
        <v>0</v>
      </c>
      <c r="AA18" s="6">
        <f t="shared" si="6"/>
        <v>0</v>
      </c>
      <c r="AB18" s="6">
        <f t="shared" si="7"/>
        <v>0</v>
      </c>
      <c r="AC18" s="6">
        <f t="shared" si="8"/>
        <v>0</v>
      </c>
      <c r="AD18" s="6">
        <f>'Half yearly'!B18</f>
        <v>0</v>
      </c>
      <c r="AE18" s="6">
        <f>'Half yearly'!C18</f>
        <v>0</v>
      </c>
      <c r="AF18" s="6">
        <f>'Half yearly'!D18</f>
        <v>0</v>
      </c>
      <c r="AG18" s="6">
        <f>'Half yearly'!E18</f>
        <v>0</v>
      </c>
      <c r="AH18" s="6">
        <f t="shared" si="9"/>
        <v>0</v>
      </c>
      <c r="AI18" s="6">
        <f>Annual!B18</f>
        <v>0</v>
      </c>
      <c r="AJ18" s="6">
        <f>Annual!C18</f>
        <v>0</v>
      </c>
      <c r="AK18" s="6">
        <f>Annual!D18</f>
        <v>0</v>
      </c>
      <c r="AL18" s="6">
        <f>Annual!E18</f>
        <v>0</v>
      </c>
      <c r="AM18" s="10">
        <f t="shared" si="10"/>
        <v>0</v>
      </c>
      <c r="AN18" s="6">
        <f t="shared" si="11"/>
        <v>0</v>
      </c>
      <c r="AO18" s="6">
        <f t="shared" si="12"/>
        <v>0</v>
      </c>
      <c r="AP18" s="6">
        <f t="shared" si="13"/>
        <v>0</v>
      </c>
      <c r="AQ18" s="6">
        <f t="shared" si="14"/>
        <v>0</v>
      </c>
      <c r="AR18" s="6">
        <f t="shared" si="15"/>
        <v>0</v>
      </c>
      <c r="AS18" s="6">
        <f t="shared" si="16"/>
        <v>0</v>
      </c>
      <c r="AT18" s="6">
        <f t="shared" si="17"/>
        <v>0</v>
      </c>
      <c r="AU18" s="6">
        <f t="shared" si="18"/>
        <v>0</v>
      </c>
      <c r="AV18" s="6">
        <f t="shared" si="19"/>
        <v>0</v>
      </c>
      <c r="AW18" s="6">
        <f t="shared" si="20"/>
        <v>0</v>
      </c>
      <c r="AX18" s="6">
        <f t="shared" si="21"/>
        <v>0</v>
      </c>
      <c r="AY18" s="6">
        <f t="shared" si="22"/>
        <v>0</v>
      </c>
      <c r="AZ18" s="6">
        <f t="shared" si="23"/>
        <v>0</v>
      </c>
      <c r="BA18" s="6">
        <f t="shared" si="24"/>
        <v>0</v>
      </c>
      <c r="BB18" s="6">
        <f t="shared" si="25"/>
        <v>0</v>
      </c>
      <c r="BC18" s="6">
        <f t="shared" si="26"/>
        <v>0</v>
      </c>
      <c r="BD18" s="6">
        <f t="shared" si="27"/>
        <v>0</v>
      </c>
      <c r="BE18" s="6">
        <f t="shared" si="28"/>
        <v>0</v>
      </c>
      <c r="BF18" s="6">
        <f t="shared" si="29"/>
        <v>0</v>
      </c>
      <c r="BG18" s="11">
        <f t="shared" si="30"/>
        <v>0</v>
      </c>
      <c r="BH18" s="11">
        <f t="shared" si="31"/>
        <v>0</v>
      </c>
      <c r="BI18" s="6" t="str">
        <f t="shared" si="32"/>
        <v>FAIL</v>
      </c>
      <c r="BJ18" s="37"/>
    </row>
    <row r="19" spans="1:62" x14ac:dyDescent="0.3">
      <c r="A19" s="6"/>
      <c r="B19" s="6">
        <f>'Unit 1'!A19</f>
        <v>0</v>
      </c>
      <c r="C19" s="6">
        <f>'Unit 1'!B19</f>
        <v>0</v>
      </c>
      <c r="D19" s="6" t="str">
        <f>'Unit 1'!$G$2</f>
        <v>i</v>
      </c>
      <c r="E19" s="6">
        <f>'Unit 1'!C19</f>
        <v>0</v>
      </c>
      <c r="F19" s="6">
        <f>'Unit 1'!D19</f>
        <v>0</v>
      </c>
      <c r="G19" s="6">
        <f>'Unit 1'!E19</f>
        <v>0</v>
      </c>
      <c r="H19" s="6">
        <f>'Unit 1'!F19</f>
        <v>0</v>
      </c>
      <c r="I19" s="7">
        <f t="shared" si="0"/>
        <v>0</v>
      </c>
      <c r="J19" s="6">
        <f>'Unit 2'!B19</f>
        <v>0</v>
      </c>
      <c r="K19" s="6">
        <f>'Unit 2'!C19</f>
        <v>0</v>
      </c>
      <c r="L19" s="6">
        <f>'Unit 2'!D19</f>
        <v>0</v>
      </c>
      <c r="M19" s="6">
        <f>'Unit 2'!E19</f>
        <v>0</v>
      </c>
      <c r="N19" s="9">
        <f t="shared" si="1"/>
        <v>0</v>
      </c>
      <c r="O19" s="6">
        <f>'Unit 3'!B19</f>
        <v>0</v>
      </c>
      <c r="P19" s="6">
        <f>'Unit 3'!C19</f>
        <v>0</v>
      </c>
      <c r="Q19" s="6">
        <f>'Unit 3'!D19</f>
        <v>0</v>
      </c>
      <c r="R19" s="6">
        <f>'Unit 3'!E19</f>
        <v>0</v>
      </c>
      <c r="S19" s="8">
        <f t="shared" si="2"/>
        <v>0</v>
      </c>
      <c r="T19" s="6">
        <f>'Unit 4'!B19</f>
        <v>0</v>
      </c>
      <c r="U19" s="6">
        <f>'Unit 4'!C19</f>
        <v>0</v>
      </c>
      <c r="V19" s="6">
        <f>'Unit 4'!D19</f>
        <v>0</v>
      </c>
      <c r="W19" s="6">
        <f>'Unit 4'!E19</f>
        <v>0</v>
      </c>
      <c r="X19" s="9">
        <f t="shared" si="3"/>
        <v>0</v>
      </c>
      <c r="Y19" s="6">
        <f t="shared" si="4"/>
        <v>0</v>
      </c>
      <c r="Z19" s="6">
        <f t="shared" si="5"/>
        <v>0</v>
      </c>
      <c r="AA19" s="6">
        <f t="shared" si="6"/>
        <v>0</v>
      </c>
      <c r="AB19" s="6">
        <f t="shared" si="7"/>
        <v>0</v>
      </c>
      <c r="AC19" s="6">
        <f t="shared" si="8"/>
        <v>0</v>
      </c>
      <c r="AD19" s="6">
        <f>'Half yearly'!B19</f>
        <v>0</v>
      </c>
      <c r="AE19" s="6">
        <f>'Half yearly'!C19</f>
        <v>0</v>
      </c>
      <c r="AF19" s="6">
        <f>'Half yearly'!D19</f>
        <v>0</v>
      </c>
      <c r="AG19" s="6">
        <f>'Half yearly'!E19</f>
        <v>0</v>
      </c>
      <c r="AH19" s="6">
        <f t="shared" si="9"/>
        <v>0</v>
      </c>
      <c r="AI19" s="6">
        <f>Annual!B19</f>
        <v>0</v>
      </c>
      <c r="AJ19" s="6">
        <f>Annual!C19</f>
        <v>0</v>
      </c>
      <c r="AK19" s="6">
        <f>Annual!D19</f>
        <v>0</v>
      </c>
      <c r="AL19" s="6">
        <f>Annual!E19</f>
        <v>0</v>
      </c>
      <c r="AM19" s="10">
        <f t="shared" si="10"/>
        <v>0</v>
      </c>
      <c r="AN19" s="6">
        <f t="shared" si="11"/>
        <v>0</v>
      </c>
      <c r="AO19" s="6">
        <f t="shared" si="12"/>
        <v>0</v>
      </c>
      <c r="AP19" s="6">
        <f t="shared" si="13"/>
        <v>0</v>
      </c>
      <c r="AQ19" s="6">
        <f t="shared" si="14"/>
        <v>0</v>
      </c>
      <c r="AR19" s="6">
        <f t="shared" si="15"/>
        <v>0</v>
      </c>
      <c r="AS19" s="6">
        <f t="shared" si="16"/>
        <v>0</v>
      </c>
      <c r="AT19" s="6">
        <f t="shared" si="17"/>
        <v>0</v>
      </c>
      <c r="AU19" s="6">
        <f t="shared" si="18"/>
        <v>0</v>
      </c>
      <c r="AV19" s="6">
        <f t="shared" si="19"/>
        <v>0</v>
      </c>
      <c r="AW19" s="6">
        <f t="shared" si="20"/>
        <v>0</v>
      </c>
      <c r="AX19" s="6">
        <f t="shared" si="21"/>
        <v>0</v>
      </c>
      <c r="AY19" s="6">
        <f t="shared" si="22"/>
        <v>0</v>
      </c>
      <c r="AZ19" s="6">
        <f t="shared" si="23"/>
        <v>0</v>
      </c>
      <c r="BA19" s="6">
        <f t="shared" si="24"/>
        <v>0</v>
      </c>
      <c r="BB19" s="6">
        <f t="shared" si="25"/>
        <v>0</v>
      </c>
      <c r="BC19" s="6">
        <f t="shared" si="26"/>
        <v>0</v>
      </c>
      <c r="BD19" s="6">
        <f t="shared" si="27"/>
        <v>0</v>
      </c>
      <c r="BE19" s="6">
        <f t="shared" si="28"/>
        <v>0</v>
      </c>
      <c r="BF19" s="6">
        <f t="shared" si="29"/>
        <v>0</v>
      </c>
      <c r="BG19" s="11">
        <f t="shared" si="30"/>
        <v>0</v>
      </c>
      <c r="BH19" s="11">
        <f t="shared" si="31"/>
        <v>0</v>
      </c>
      <c r="BI19" s="6" t="str">
        <f t="shared" si="32"/>
        <v>FAIL</v>
      </c>
      <c r="BJ19" s="37"/>
    </row>
    <row r="20" spans="1:62" x14ac:dyDescent="0.3">
      <c r="A20" s="6"/>
      <c r="B20" s="6">
        <f>'Unit 1'!A20</f>
        <v>0</v>
      </c>
      <c r="C20" s="6">
        <f>'Unit 1'!B20</f>
        <v>0</v>
      </c>
      <c r="D20" s="6" t="str">
        <f>'Unit 1'!$G$2</f>
        <v>i</v>
      </c>
      <c r="E20" s="6">
        <f>'Unit 1'!C20</f>
        <v>0</v>
      </c>
      <c r="F20" s="6">
        <f>'Unit 1'!D20</f>
        <v>0</v>
      </c>
      <c r="G20" s="6">
        <f>'Unit 1'!E20</f>
        <v>0</v>
      </c>
      <c r="H20" s="6">
        <f>'Unit 1'!F20</f>
        <v>0</v>
      </c>
      <c r="I20" s="7">
        <f t="shared" si="0"/>
        <v>0</v>
      </c>
      <c r="J20" s="6">
        <f>'Unit 2'!B20</f>
        <v>0</v>
      </c>
      <c r="K20" s="6">
        <f>'Unit 2'!C20</f>
        <v>0</v>
      </c>
      <c r="L20" s="6">
        <f>'Unit 2'!D20</f>
        <v>0</v>
      </c>
      <c r="M20" s="6">
        <f>'Unit 2'!E20</f>
        <v>0</v>
      </c>
      <c r="N20" s="9">
        <f t="shared" si="1"/>
        <v>0</v>
      </c>
      <c r="O20" s="6">
        <f>'Unit 3'!B20</f>
        <v>0</v>
      </c>
      <c r="P20" s="6">
        <f>'Unit 3'!C20</f>
        <v>0</v>
      </c>
      <c r="Q20" s="6">
        <f>'Unit 3'!D20</f>
        <v>0</v>
      </c>
      <c r="R20" s="6">
        <f>'Unit 3'!E20</f>
        <v>0</v>
      </c>
      <c r="S20" s="8">
        <f t="shared" si="2"/>
        <v>0</v>
      </c>
      <c r="T20" s="6">
        <f>'Unit 4'!B20</f>
        <v>0</v>
      </c>
      <c r="U20" s="6">
        <f>'Unit 4'!C20</f>
        <v>0</v>
      </c>
      <c r="V20" s="6">
        <f>'Unit 4'!D20</f>
        <v>0</v>
      </c>
      <c r="W20" s="6">
        <f>'Unit 4'!E20</f>
        <v>0</v>
      </c>
      <c r="X20" s="9">
        <f t="shared" si="3"/>
        <v>0</v>
      </c>
      <c r="Y20" s="6">
        <f t="shared" si="4"/>
        <v>0</v>
      </c>
      <c r="Z20" s="6">
        <f t="shared" si="5"/>
        <v>0</v>
      </c>
      <c r="AA20" s="6">
        <f t="shared" si="6"/>
        <v>0</v>
      </c>
      <c r="AB20" s="6">
        <f t="shared" si="7"/>
        <v>0</v>
      </c>
      <c r="AC20" s="6">
        <f t="shared" si="8"/>
        <v>0</v>
      </c>
      <c r="AD20" s="6">
        <f>'Half yearly'!B20</f>
        <v>0</v>
      </c>
      <c r="AE20" s="6">
        <f>'Half yearly'!C20</f>
        <v>0</v>
      </c>
      <c r="AF20" s="6">
        <f>'Half yearly'!D20</f>
        <v>0</v>
      </c>
      <c r="AG20" s="6">
        <f>'Half yearly'!E20</f>
        <v>0</v>
      </c>
      <c r="AH20" s="6">
        <f t="shared" si="9"/>
        <v>0</v>
      </c>
      <c r="AI20" s="6">
        <f>Annual!B20</f>
        <v>0</v>
      </c>
      <c r="AJ20" s="6">
        <f>Annual!C20</f>
        <v>0</v>
      </c>
      <c r="AK20" s="6">
        <f>Annual!D20</f>
        <v>0</v>
      </c>
      <c r="AL20" s="6">
        <f>Annual!E20</f>
        <v>0</v>
      </c>
      <c r="AM20" s="10">
        <f t="shared" si="10"/>
        <v>0</v>
      </c>
      <c r="AN20" s="6">
        <f t="shared" si="11"/>
        <v>0</v>
      </c>
      <c r="AO20" s="6">
        <f t="shared" si="12"/>
        <v>0</v>
      </c>
      <c r="AP20" s="6">
        <f t="shared" si="13"/>
        <v>0</v>
      </c>
      <c r="AQ20" s="6">
        <f t="shared" si="14"/>
        <v>0</v>
      </c>
      <c r="AR20" s="6">
        <f t="shared" si="15"/>
        <v>0</v>
      </c>
      <c r="AS20" s="6">
        <f t="shared" si="16"/>
        <v>0</v>
      </c>
      <c r="AT20" s="6">
        <f t="shared" si="17"/>
        <v>0</v>
      </c>
      <c r="AU20" s="6">
        <f t="shared" si="18"/>
        <v>0</v>
      </c>
      <c r="AV20" s="6">
        <f t="shared" si="19"/>
        <v>0</v>
      </c>
      <c r="AW20" s="6">
        <f t="shared" si="20"/>
        <v>0</v>
      </c>
      <c r="AX20" s="6">
        <f t="shared" si="21"/>
        <v>0</v>
      </c>
      <c r="AY20" s="6">
        <f t="shared" si="22"/>
        <v>0</v>
      </c>
      <c r="AZ20" s="6">
        <f t="shared" si="23"/>
        <v>0</v>
      </c>
      <c r="BA20" s="6">
        <f t="shared" si="24"/>
        <v>0</v>
      </c>
      <c r="BB20" s="6">
        <f t="shared" si="25"/>
        <v>0</v>
      </c>
      <c r="BC20" s="6">
        <f t="shared" si="26"/>
        <v>0</v>
      </c>
      <c r="BD20" s="6">
        <f t="shared" si="27"/>
        <v>0</v>
      </c>
      <c r="BE20" s="6">
        <f t="shared" si="28"/>
        <v>0</v>
      </c>
      <c r="BF20" s="6">
        <f t="shared" si="29"/>
        <v>0</v>
      </c>
      <c r="BG20" s="11">
        <f t="shared" si="30"/>
        <v>0</v>
      </c>
      <c r="BH20" s="11">
        <f t="shared" si="31"/>
        <v>0</v>
      </c>
      <c r="BI20" s="6" t="str">
        <f t="shared" si="32"/>
        <v>FAIL</v>
      </c>
      <c r="BJ20" s="37"/>
    </row>
    <row r="21" spans="1:62" x14ac:dyDescent="0.3">
      <c r="A21" s="6"/>
      <c r="B21" s="6">
        <f>'Unit 1'!A21</f>
        <v>0</v>
      </c>
      <c r="C21" s="6">
        <f>'Unit 1'!B21</f>
        <v>0</v>
      </c>
      <c r="D21" s="6" t="str">
        <f>'Unit 1'!$G$2</f>
        <v>i</v>
      </c>
      <c r="E21" s="6">
        <f>'Unit 1'!C21</f>
        <v>0</v>
      </c>
      <c r="F21" s="6">
        <f>'Unit 1'!D21</f>
        <v>0</v>
      </c>
      <c r="G21" s="6">
        <f>'Unit 1'!E21</f>
        <v>0</v>
      </c>
      <c r="H21" s="6">
        <f>'Unit 1'!F21</f>
        <v>0</v>
      </c>
      <c r="I21" s="7">
        <f t="shared" si="0"/>
        <v>0</v>
      </c>
      <c r="J21" s="6">
        <f>'Unit 2'!B21</f>
        <v>0</v>
      </c>
      <c r="K21" s="6">
        <f>'Unit 2'!C21</f>
        <v>0</v>
      </c>
      <c r="L21" s="6">
        <f>'Unit 2'!D21</f>
        <v>0</v>
      </c>
      <c r="M21" s="6">
        <f>'Unit 2'!E21</f>
        <v>0</v>
      </c>
      <c r="N21" s="9">
        <f t="shared" si="1"/>
        <v>0</v>
      </c>
      <c r="O21" s="6">
        <f>'Unit 3'!B21</f>
        <v>0</v>
      </c>
      <c r="P21" s="6">
        <f>'Unit 3'!C21</f>
        <v>0</v>
      </c>
      <c r="Q21" s="6">
        <f>'Unit 3'!D21</f>
        <v>0</v>
      </c>
      <c r="R21" s="6">
        <f>'Unit 3'!E21</f>
        <v>0</v>
      </c>
      <c r="S21" s="8">
        <f t="shared" si="2"/>
        <v>0</v>
      </c>
      <c r="T21" s="6">
        <f>'Unit 4'!B21</f>
        <v>0</v>
      </c>
      <c r="U21" s="6">
        <f>'Unit 4'!C21</f>
        <v>0</v>
      </c>
      <c r="V21" s="6">
        <f>'Unit 4'!D21</f>
        <v>0</v>
      </c>
      <c r="W21" s="6">
        <f>'Unit 4'!E21</f>
        <v>0</v>
      </c>
      <c r="X21" s="9">
        <f t="shared" si="3"/>
        <v>0</v>
      </c>
      <c r="Y21" s="6">
        <f t="shared" si="4"/>
        <v>0</v>
      </c>
      <c r="Z21" s="6">
        <f t="shared" si="5"/>
        <v>0</v>
      </c>
      <c r="AA21" s="6">
        <f t="shared" si="6"/>
        <v>0</v>
      </c>
      <c r="AB21" s="6">
        <f t="shared" si="7"/>
        <v>0</v>
      </c>
      <c r="AC21" s="6">
        <f t="shared" si="8"/>
        <v>0</v>
      </c>
      <c r="AD21" s="6">
        <f>'Half yearly'!B21</f>
        <v>0</v>
      </c>
      <c r="AE21" s="6">
        <f>'Half yearly'!C21</f>
        <v>0</v>
      </c>
      <c r="AF21" s="6">
        <f>'Half yearly'!D21</f>
        <v>0</v>
      </c>
      <c r="AG21" s="6">
        <f>'Half yearly'!E21</f>
        <v>0</v>
      </c>
      <c r="AH21" s="6">
        <f t="shared" si="9"/>
        <v>0</v>
      </c>
      <c r="AI21" s="6">
        <f>Annual!B21</f>
        <v>0</v>
      </c>
      <c r="AJ21" s="6">
        <f>Annual!C21</f>
        <v>0</v>
      </c>
      <c r="AK21" s="6">
        <f>Annual!D21</f>
        <v>0</v>
      </c>
      <c r="AL21" s="6">
        <f>Annual!E21</f>
        <v>0</v>
      </c>
      <c r="AM21" s="10">
        <f t="shared" si="10"/>
        <v>0</v>
      </c>
      <c r="AN21" s="6">
        <f t="shared" si="11"/>
        <v>0</v>
      </c>
      <c r="AO21" s="6">
        <f t="shared" si="12"/>
        <v>0</v>
      </c>
      <c r="AP21" s="6">
        <f t="shared" si="13"/>
        <v>0</v>
      </c>
      <c r="AQ21" s="6">
        <f t="shared" si="14"/>
        <v>0</v>
      </c>
      <c r="AR21" s="6">
        <f t="shared" si="15"/>
        <v>0</v>
      </c>
      <c r="AS21" s="6">
        <f t="shared" si="16"/>
        <v>0</v>
      </c>
      <c r="AT21" s="6">
        <f t="shared" si="17"/>
        <v>0</v>
      </c>
      <c r="AU21" s="6">
        <f t="shared" si="18"/>
        <v>0</v>
      </c>
      <c r="AV21" s="6">
        <f t="shared" si="19"/>
        <v>0</v>
      </c>
      <c r="AW21" s="6">
        <f t="shared" si="20"/>
        <v>0</v>
      </c>
      <c r="AX21" s="6">
        <f t="shared" si="21"/>
        <v>0</v>
      </c>
      <c r="AY21" s="6">
        <f t="shared" si="22"/>
        <v>0</v>
      </c>
      <c r="AZ21" s="6">
        <f t="shared" si="23"/>
        <v>0</v>
      </c>
      <c r="BA21" s="6">
        <f t="shared" si="24"/>
        <v>0</v>
      </c>
      <c r="BB21" s="6">
        <f t="shared" si="25"/>
        <v>0</v>
      </c>
      <c r="BC21" s="6">
        <f t="shared" si="26"/>
        <v>0</v>
      </c>
      <c r="BD21" s="6">
        <f t="shared" si="27"/>
        <v>0</v>
      </c>
      <c r="BE21" s="6">
        <f t="shared" si="28"/>
        <v>0</v>
      </c>
      <c r="BF21" s="6">
        <f t="shared" si="29"/>
        <v>0</v>
      </c>
      <c r="BG21" s="11">
        <f t="shared" si="30"/>
        <v>0</v>
      </c>
      <c r="BH21" s="11">
        <f t="shared" si="31"/>
        <v>0</v>
      </c>
      <c r="BI21" s="6" t="str">
        <f t="shared" si="32"/>
        <v>FAIL</v>
      </c>
      <c r="BJ21" s="37"/>
    </row>
    <row r="22" spans="1:62" x14ac:dyDescent="0.3">
      <c r="A22" s="6"/>
      <c r="B22" s="6">
        <f>'Unit 1'!A22</f>
        <v>0</v>
      </c>
      <c r="C22" s="6">
        <f>'Unit 1'!B22</f>
        <v>0</v>
      </c>
      <c r="D22" s="6" t="str">
        <f>'Unit 1'!$G$2</f>
        <v>i</v>
      </c>
      <c r="E22" s="6">
        <f>'Unit 1'!C22</f>
        <v>0</v>
      </c>
      <c r="F22" s="6">
        <f>'Unit 1'!D22</f>
        <v>0</v>
      </c>
      <c r="G22" s="6">
        <f>'Unit 1'!E22</f>
        <v>0</v>
      </c>
      <c r="H22" s="6">
        <f>'Unit 1'!F22</f>
        <v>0</v>
      </c>
      <c r="I22" s="7">
        <f t="shared" si="0"/>
        <v>0</v>
      </c>
      <c r="J22" s="6">
        <f>'Unit 2'!B22</f>
        <v>0</v>
      </c>
      <c r="K22" s="6">
        <f>'Unit 2'!C22</f>
        <v>0</v>
      </c>
      <c r="L22" s="6">
        <f>'Unit 2'!D22</f>
        <v>0</v>
      </c>
      <c r="M22" s="6">
        <f>'Unit 2'!E22</f>
        <v>0</v>
      </c>
      <c r="N22" s="9">
        <f t="shared" si="1"/>
        <v>0</v>
      </c>
      <c r="O22" s="6">
        <f>'Unit 3'!B22</f>
        <v>0</v>
      </c>
      <c r="P22" s="6">
        <f>'Unit 3'!C22</f>
        <v>0</v>
      </c>
      <c r="Q22" s="6">
        <f>'Unit 3'!D22</f>
        <v>0</v>
      </c>
      <c r="R22" s="6">
        <f>'Unit 3'!E22</f>
        <v>0</v>
      </c>
      <c r="S22" s="8">
        <f t="shared" si="2"/>
        <v>0</v>
      </c>
      <c r="T22" s="6">
        <f>'Unit 4'!B22</f>
        <v>0</v>
      </c>
      <c r="U22" s="6">
        <f>'Unit 4'!C22</f>
        <v>0</v>
      </c>
      <c r="V22" s="6">
        <f>'Unit 4'!D22</f>
        <v>0</v>
      </c>
      <c r="W22" s="6">
        <f>'Unit 4'!E22</f>
        <v>0</v>
      </c>
      <c r="X22" s="9">
        <f t="shared" si="3"/>
        <v>0</v>
      </c>
      <c r="Y22" s="6">
        <f t="shared" si="4"/>
        <v>0</v>
      </c>
      <c r="Z22" s="6">
        <f t="shared" si="5"/>
        <v>0</v>
      </c>
      <c r="AA22" s="6">
        <f t="shared" si="6"/>
        <v>0</v>
      </c>
      <c r="AB22" s="6">
        <f t="shared" si="7"/>
        <v>0</v>
      </c>
      <c r="AC22" s="6">
        <f t="shared" si="8"/>
        <v>0</v>
      </c>
      <c r="AD22" s="6">
        <f>'Half yearly'!B22</f>
        <v>0</v>
      </c>
      <c r="AE22" s="6">
        <f>'Half yearly'!C22</f>
        <v>0</v>
      </c>
      <c r="AF22" s="6">
        <f>'Half yearly'!D22</f>
        <v>0</v>
      </c>
      <c r="AG22" s="6">
        <f>'Half yearly'!E22</f>
        <v>0</v>
      </c>
      <c r="AH22" s="6">
        <f t="shared" si="9"/>
        <v>0</v>
      </c>
      <c r="AI22" s="6">
        <f>Annual!B22</f>
        <v>0</v>
      </c>
      <c r="AJ22" s="6">
        <f>Annual!C22</f>
        <v>0</v>
      </c>
      <c r="AK22" s="6">
        <f>Annual!D22</f>
        <v>0</v>
      </c>
      <c r="AL22" s="6">
        <f>Annual!E22</f>
        <v>0</v>
      </c>
      <c r="AM22" s="10">
        <f t="shared" si="10"/>
        <v>0</v>
      </c>
      <c r="AN22" s="6">
        <f t="shared" si="11"/>
        <v>0</v>
      </c>
      <c r="AO22" s="6">
        <f t="shared" si="12"/>
        <v>0</v>
      </c>
      <c r="AP22" s="6">
        <f t="shared" si="13"/>
        <v>0</v>
      </c>
      <c r="AQ22" s="6">
        <f t="shared" si="14"/>
        <v>0</v>
      </c>
      <c r="AR22" s="6">
        <f t="shared" si="15"/>
        <v>0</v>
      </c>
      <c r="AS22" s="6">
        <f t="shared" si="16"/>
        <v>0</v>
      </c>
      <c r="AT22" s="6">
        <f t="shared" si="17"/>
        <v>0</v>
      </c>
      <c r="AU22" s="6">
        <f t="shared" si="18"/>
        <v>0</v>
      </c>
      <c r="AV22" s="6">
        <f t="shared" si="19"/>
        <v>0</v>
      </c>
      <c r="AW22" s="6">
        <f t="shared" si="20"/>
        <v>0</v>
      </c>
      <c r="AX22" s="6">
        <f t="shared" si="21"/>
        <v>0</v>
      </c>
      <c r="AY22" s="6">
        <f t="shared" si="22"/>
        <v>0</v>
      </c>
      <c r="AZ22" s="6">
        <f t="shared" si="23"/>
        <v>0</v>
      </c>
      <c r="BA22" s="6">
        <f t="shared" si="24"/>
        <v>0</v>
      </c>
      <c r="BB22" s="6">
        <f t="shared" si="25"/>
        <v>0</v>
      </c>
      <c r="BC22" s="6">
        <f t="shared" si="26"/>
        <v>0</v>
      </c>
      <c r="BD22" s="6">
        <f t="shared" si="27"/>
        <v>0</v>
      </c>
      <c r="BE22" s="6">
        <f t="shared" si="28"/>
        <v>0</v>
      </c>
      <c r="BF22" s="6">
        <f t="shared" si="29"/>
        <v>0</v>
      </c>
      <c r="BG22" s="11">
        <f t="shared" si="30"/>
        <v>0</v>
      </c>
      <c r="BH22" s="11">
        <f t="shared" si="31"/>
        <v>0</v>
      </c>
      <c r="BI22" s="6" t="str">
        <f t="shared" si="32"/>
        <v>FAIL</v>
      </c>
      <c r="BJ22" s="37"/>
    </row>
    <row r="23" spans="1:62" x14ac:dyDescent="0.3">
      <c r="A23" s="6"/>
      <c r="B23" s="6">
        <f>'Unit 1'!A23</f>
        <v>0</v>
      </c>
      <c r="C23" s="6">
        <f>'Unit 1'!B23</f>
        <v>0</v>
      </c>
      <c r="D23" s="6" t="str">
        <f>'Unit 1'!$G$2</f>
        <v>i</v>
      </c>
      <c r="E23" s="6">
        <f>'Unit 1'!C23</f>
        <v>0</v>
      </c>
      <c r="F23" s="6">
        <f>'Unit 1'!D23</f>
        <v>0</v>
      </c>
      <c r="G23" s="6">
        <f>'Unit 1'!E23</f>
        <v>0</v>
      </c>
      <c r="H23" s="6">
        <f>'Unit 1'!F23</f>
        <v>0</v>
      </c>
      <c r="I23" s="7">
        <f t="shared" si="0"/>
        <v>0</v>
      </c>
      <c r="J23" s="6">
        <f>'Unit 2'!B23</f>
        <v>0</v>
      </c>
      <c r="K23" s="6">
        <f>'Unit 2'!C23</f>
        <v>0</v>
      </c>
      <c r="L23" s="6">
        <f>'Unit 2'!D23</f>
        <v>0</v>
      </c>
      <c r="M23" s="6">
        <f>'Unit 2'!E23</f>
        <v>0</v>
      </c>
      <c r="N23" s="9">
        <f t="shared" si="1"/>
        <v>0</v>
      </c>
      <c r="O23" s="6">
        <f>'Unit 3'!B23</f>
        <v>0</v>
      </c>
      <c r="P23" s="6">
        <f>'Unit 3'!C23</f>
        <v>0</v>
      </c>
      <c r="Q23" s="6">
        <f>'Unit 3'!D23</f>
        <v>0</v>
      </c>
      <c r="R23" s="6">
        <f>'Unit 3'!E23</f>
        <v>0</v>
      </c>
      <c r="S23" s="8">
        <f t="shared" si="2"/>
        <v>0</v>
      </c>
      <c r="T23" s="6">
        <f>'Unit 4'!B23</f>
        <v>0</v>
      </c>
      <c r="U23" s="6">
        <f>'Unit 4'!C23</f>
        <v>0</v>
      </c>
      <c r="V23" s="6">
        <f>'Unit 4'!D23</f>
        <v>0</v>
      </c>
      <c r="W23" s="6">
        <f>'Unit 4'!E23</f>
        <v>0</v>
      </c>
      <c r="X23" s="9">
        <f t="shared" si="3"/>
        <v>0</v>
      </c>
      <c r="Y23" s="6">
        <f t="shared" si="4"/>
        <v>0</v>
      </c>
      <c r="Z23" s="6">
        <f t="shared" si="5"/>
        <v>0</v>
      </c>
      <c r="AA23" s="6">
        <f t="shared" si="6"/>
        <v>0</v>
      </c>
      <c r="AB23" s="6">
        <f t="shared" si="7"/>
        <v>0</v>
      </c>
      <c r="AC23" s="6">
        <f t="shared" si="8"/>
        <v>0</v>
      </c>
      <c r="AD23" s="6">
        <f>'Half yearly'!B23</f>
        <v>0</v>
      </c>
      <c r="AE23" s="6">
        <f>'Half yearly'!C23</f>
        <v>0</v>
      </c>
      <c r="AF23" s="6">
        <f>'Half yearly'!D23</f>
        <v>0</v>
      </c>
      <c r="AG23" s="6">
        <f>'Half yearly'!E23</f>
        <v>0</v>
      </c>
      <c r="AH23" s="6">
        <f t="shared" si="9"/>
        <v>0</v>
      </c>
      <c r="AI23" s="6">
        <f>Annual!B23</f>
        <v>0</v>
      </c>
      <c r="AJ23" s="6">
        <f>Annual!C23</f>
        <v>0</v>
      </c>
      <c r="AK23" s="6">
        <f>Annual!D23</f>
        <v>0</v>
      </c>
      <c r="AL23" s="6">
        <f>Annual!E23</f>
        <v>0</v>
      </c>
      <c r="AM23" s="10">
        <f t="shared" si="10"/>
        <v>0</v>
      </c>
      <c r="AN23" s="6">
        <f t="shared" si="11"/>
        <v>0</v>
      </c>
      <c r="AO23" s="6">
        <f t="shared" si="12"/>
        <v>0</v>
      </c>
      <c r="AP23" s="6">
        <f t="shared" si="13"/>
        <v>0</v>
      </c>
      <c r="AQ23" s="6">
        <f t="shared" si="14"/>
        <v>0</v>
      </c>
      <c r="AR23" s="6">
        <f t="shared" si="15"/>
        <v>0</v>
      </c>
      <c r="AS23" s="6">
        <f t="shared" si="16"/>
        <v>0</v>
      </c>
      <c r="AT23" s="6">
        <f t="shared" si="17"/>
        <v>0</v>
      </c>
      <c r="AU23" s="6">
        <f t="shared" si="18"/>
        <v>0</v>
      </c>
      <c r="AV23" s="6">
        <f t="shared" si="19"/>
        <v>0</v>
      </c>
      <c r="AW23" s="6">
        <f t="shared" si="20"/>
        <v>0</v>
      </c>
      <c r="AX23" s="6">
        <f t="shared" si="21"/>
        <v>0</v>
      </c>
      <c r="AY23" s="6">
        <f t="shared" si="22"/>
        <v>0</v>
      </c>
      <c r="AZ23" s="6">
        <f t="shared" si="23"/>
        <v>0</v>
      </c>
      <c r="BA23" s="6">
        <f t="shared" si="24"/>
        <v>0</v>
      </c>
      <c r="BB23" s="6">
        <f t="shared" si="25"/>
        <v>0</v>
      </c>
      <c r="BC23" s="6">
        <f t="shared" si="26"/>
        <v>0</v>
      </c>
      <c r="BD23" s="6">
        <f t="shared" si="27"/>
        <v>0</v>
      </c>
      <c r="BE23" s="6">
        <f t="shared" si="28"/>
        <v>0</v>
      </c>
      <c r="BF23" s="6">
        <f t="shared" si="29"/>
        <v>0</v>
      </c>
      <c r="BG23" s="11">
        <f t="shared" si="30"/>
        <v>0</v>
      </c>
      <c r="BH23" s="11">
        <f t="shared" si="31"/>
        <v>0</v>
      </c>
      <c r="BI23" s="6" t="str">
        <f t="shared" si="32"/>
        <v>FAIL</v>
      </c>
      <c r="BJ23" s="37"/>
    </row>
    <row r="24" spans="1:62" x14ac:dyDescent="0.3">
      <c r="A24" s="6"/>
      <c r="B24" s="6">
        <f>'Unit 1'!A24</f>
        <v>0</v>
      </c>
      <c r="C24" s="6">
        <f>'Unit 1'!B24</f>
        <v>0</v>
      </c>
      <c r="D24" s="6" t="str">
        <f>'Unit 1'!$G$2</f>
        <v>i</v>
      </c>
      <c r="E24" s="6">
        <f>'Unit 1'!C24</f>
        <v>0</v>
      </c>
      <c r="F24" s="6">
        <f>'Unit 1'!D24</f>
        <v>0</v>
      </c>
      <c r="G24" s="6">
        <f>'Unit 1'!E24</f>
        <v>0</v>
      </c>
      <c r="H24" s="6">
        <f>'Unit 1'!F24</f>
        <v>0</v>
      </c>
      <c r="I24" s="7">
        <f t="shared" si="0"/>
        <v>0</v>
      </c>
      <c r="J24" s="6">
        <f>'Unit 2'!B24</f>
        <v>0</v>
      </c>
      <c r="K24" s="6">
        <f>'Unit 2'!C24</f>
        <v>0</v>
      </c>
      <c r="L24" s="6">
        <f>'Unit 2'!D24</f>
        <v>0</v>
      </c>
      <c r="M24" s="6">
        <f>'Unit 2'!E24</f>
        <v>0</v>
      </c>
      <c r="N24" s="9">
        <f t="shared" si="1"/>
        <v>0</v>
      </c>
      <c r="O24" s="6">
        <f>'Unit 3'!B24</f>
        <v>0</v>
      </c>
      <c r="P24" s="6">
        <f>'Unit 3'!C24</f>
        <v>0</v>
      </c>
      <c r="Q24" s="6">
        <f>'Unit 3'!D24</f>
        <v>0</v>
      </c>
      <c r="R24" s="6">
        <f>'Unit 3'!E24</f>
        <v>0</v>
      </c>
      <c r="S24" s="8">
        <f t="shared" si="2"/>
        <v>0</v>
      </c>
      <c r="T24" s="6">
        <f>'Unit 4'!B24</f>
        <v>0</v>
      </c>
      <c r="U24" s="6">
        <f>'Unit 4'!C24</f>
        <v>0</v>
      </c>
      <c r="V24" s="6">
        <f>'Unit 4'!D24</f>
        <v>0</v>
      </c>
      <c r="W24" s="6">
        <f>'Unit 4'!E24</f>
        <v>0</v>
      </c>
      <c r="X24" s="9">
        <f t="shared" si="3"/>
        <v>0</v>
      </c>
      <c r="Y24" s="6">
        <f t="shared" si="4"/>
        <v>0</v>
      </c>
      <c r="Z24" s="6">
        <f t="shared" si="5"/>
        <v>0</v>
      </c>
      <c r="AA24" s="6">
        <f t="shared" si="6"/>
        <v>0</v>
      </c>
      <c r="AB24" s="6">
        <f t="shared" si="7"/>
        <v>0</v>
      </c>
      <c r="AC24" s="6">
        <f t="shared" si="8"/>
        <v>0</v>
      </c>
      <c r="AD24" s="6">
        <f>'Half yearly'!B24</f>
        <v>0</v>
      </c>
      <c r="AE24" s="6">
        <f>'Half yearly'!C24</f>
        <v>0</v>
      </c>
      <c r="AF24" s="6">
        <f>'Half yearly'!D24</f>
        <v>0</v>
      </c>
      <c r="AG24" s="6">
        <f>'Half yearly'!E24</f>
        <v>0</v>
      </c>
      <c r="AH24" s="6">
        <f t="shared" si="9"/>
        <v>0</v>
      </c>
      <c r="AI24" s="6">
        <f>Annual!B24</f>
        <v>0</v>
      </c>
      <c r="AJ24" s="6">
        <f>Annual!C24</f>
        <v>0</v>
      </c>
      <c r="AK24" s="6">
        <f>Annual!D24</f>
        <v>0</v>
      </c>
      <c r="AL24" s="6">
        <f>Annual!E24</f>
        <v>0</v>
      </c>
      <c r="AM24" s="10">
        <f t="shared" si="10"/>
        <v>0</v>
      </c>
      <c r="AN24" s="6">
        <f t="shared" si="11"/>
        <v>0</v>
      </c>
      <c r="AO24" s="6">
        <f t="shared" si="12"/>
        <v>0</v>
      </c>
      <c r="AP24" s="6">
        <f t="shared" si="13"/>
        <v>0</v>
      </c>
      <c r="AQ24" s="6">
        <f t="shared" si="14"/>
        <v>0</v>
      </c>
      <c r="AR24" s="6">
        <f t="shared" si="15"/>
        <v>0</v>
      </c>
      <c r="AS24" s="6">
        <f t="shared" si="16"/>
        <v>0</v>
      </c>
      <c r="AT24" s="6">
        <f t="shared" si="17"/>
        <v>0</v>
      </c>
      <c r="AU24" s="6">
        <f t="shared" si="18"/>
        <v>0</v>
      </c>
      <c r="AV24" s="6">
        <f t="shared" si="19"/>
        <v>0</v>
      </c>
      <c r="AW24" s="6">
        <f t="shared" si="20"/>
        <v>0</v>
      </c>
      <c r="AX24" s="6">
        <f t="shared" si="21"/>
        <v>0</v>
      </c>
      <c r="AY24" s="6">
        <f t="shared" si="22"/>
        <v>0</v>
      </c>
      <c r="AZ24" s="6">
        <f t="shared" si="23"/>
        <v>0</v>
      </c>
      <c r="BA24" s="6">
        <f t="shared" si="24"/>
        <v>0</v>
      </c>
      <c r="BB24" s="6">
        <f t="shared" si="25"/>
        <v>0</v>
      </c>
      <c r="BC24" s="6">
        <f t="shared" si="26"/>
        <v>0</v>
      </c>
      <c r="BD24" s="6">
        <f t="shared" si="27"/>
        <v>0</v>
      </c>
      <c r="BE24" s="6">
        <f t="shared" si="28"/>
        <v>0</v>
      </c>
      <c r="BF24" s="6">
        <f t="shared" si="29"/>
        <v>0</v>
      </c>
      <c r="BG24" s="11">
        <f t="shared" si="30"/>
        <v>0</v>
      </c>
      <c r="BH24" s="11">
        <f t="shared" si="31"/>
        <v>0</v>
      </c>
      <c r="BI24" s="6" t="str">
        <f t="shared" si="32"/>
        <v>FAIL</v>
      </c>
      <c r="BJ24" s="37"/>
    </row>
    <row r="25" spans="1:62" x14ac:dyDescent="0.3">
      <c r="A25" s="6"/>
      <c r="B25" s="6">
        <f>'Unit 1'!A25</f>
        <v>0</v>
      </c>
      <c r="C25" s="6">
        <f>'Unit 1'!B25</f>
        <v>0</v>
      </c>
      <c r="D25" s="6" t="str">
        <f>'Unit 1'!$G$2</f>
        <v>i</v>
      </c>
      <c r="E25" s="6">
        <f>'Unit 1'!C25</f>
        <v>0</v>
      </c>
      <c r="F25" s="6">
        <f>'Unit 1'!D25</f>
        <v>0</v>
      </c>
      <c r="G25" s="6">
        <f>'Unit 1'!E25</f>
        <v>0</v>
      </c>
      <c r="H25" s="6">
        <f>'Unit 1'!F25</f>
        <v>0</v>
      </c>
      <c r="I25" s="7">
        <f t="shared" si="0"/>
        <v>0</v>
      </c>
      <c r="J25" s="6">
        <f>'Unit 2'!B25</f>
        <v>0</v>
      </c>
      <c r="K25" s="6">
        <f>'Unit 2'!C25</f>
        <v>0</v>
      </c>
      <c r="L25" s="6">
        <f>'Unit 2'!D25</f>
        <v>0</v>
      </c>
      <c r="M25" s="6">
        <f>'Unit 2'!E25</f>
        <v>0</v>
      </c>
      <c r="N25" s="9">
        <f t="shared" si="1"/>
        <v>0</v>
      </c>
      <c r="O25" s="6">
        <f>'Unit 3'!B25</f>
        <v>0</v>
      </c>
      <c r="P25" s="6">
        <f>'Unit 3'!C25</f>
        <v>0</v>
      </c>
      <c r="Q25" s="6">
        <f>'Unit 3'!D25</f>
        <v>0</v>
      </c>
      <c r="R25" s="6">
        <f>'Unit 3'!E25</f>
        <v>0</v>
      </c>
      <c r="S25" s="8">
        <f t="shared" si="2"/>
        <v>0</v>
      </c>
      <c r="T25" s="6">
        <f>'Unit 4'!B25</f>
        <v>0</v>
      </c>
      <c r="U25" s="6">
        <f>'Unit 4'!C25</f>
        <v>0</v>
      </c>
      <c r="V25" s="6">
        <f>'Unit 4'!D25</f>
        <v>0</v>
      </c>
      <c r="W25" s="6">
        <f>'Unit 4'!E25</f>
        <v>0</v>
      </c>
      <c r="X25" s="9">
        <f t="shared" si="3"/>
        <v>0</v>
      </c>
      <c r="Y25" s="6">
        <f t="shared" si="4"/>
        <v>0</v>
      </c>
      <c r="Z25" s="6">
        <f t="shared" si="5"/>
        <v>0</v>
      </c>
      <c r="AA25" s="6">
        <f t="shared" si="6"/>
        <v>0</v>
      </c>
      <c r="AB25" s="6">
        <f t="shared" si="7"/>
        <v>0</v>
      </c>
      <c r="AC25" s="6">
        <f t="shared" si="8"/>
        <v>0</v>
      </c>
      <c r="AD25" s="6">
        <f>'Half yearly'!B25</f>
        <v>0</v>
      </c>
      <c r="AE25" s="6">
        <f>'Half yearly'!C25</f>
        <v>0</v>
      </c>
      <c r="AF25" s="6">
        <f>'Half yearly'!D25</f>
        <v>0</v>
      </c>
      <c r="AG25" s="6">
        <f>'Half yearly'!E25</f>
        <v>0</v>
      </c>
      <c r="AH25" s="6">
        <f t="shared" si="9"/>
        <v>0</v>
      </c>
      <c r="AI25" s="6">
        <f>Annual!B25</f>
        <v>0</v>
      </c>
      <c r="AJ25" s="6">
        <f>Annual!C25</f>
        <v>0</v>
      </c>
      <c r="AK25" s="6">
        <f>Annual!D25</f>
        <v>0</v>
      </c>
      <c r="AL25" s="6">
        <f>Annual!E25</f>
        <v>0</v>
      </c>
      <c r="AM25" s="10">
        <f t="shared" si="10"/>
        <v>0</v>
      </c>
      <c r="AN25" s="6">
        <f t="shared" si="11"/>
        <v>0</v>
      </c>
      <c r="AO25" s="6">
        <f t="shared" si="12"/>
        <v>0</v>
      </c>
      <c r="AP25" s="6">
        <f t="shared" si="13"/>
        <v>0</v>
      </c>
      <c r="AQ25" s="6">
        <f t="shared" si="14"/>
        <v>0</v>
      </c>
      <c r="AR25" s="6">
        <f t="shared" si="15"/>
        <v>0</v>
      </c>
      <c r="AS25" s="6">
        <f t="shared" si="16"/>
        <v>0</v>
      </c>
      <c r="AT25" s="6">
        <f t="shared" si="17"/>
        <v>0</v>
      </c>
      <c r="AU25" s="6">
        <f t="shared" si="18"/>
        <v>0</v>
      </c>
      <c r="AV25" s="6">
        <f t="shared" si="19"/>
        <v>0</v>
      </c>
      <c r="AW25" s="6">
        <f t="shared" si="20"/>
        <v>0</v>
      </c>
      <c r="AX25" s="6">
        <f t="shared" si="21"/>
        <v>0</v>
      </c>
      <c r="AY25" s="6">
        <f t="shared" si="22"/>
        <v>0</v>
      </c>
      <c r="AZ25" s="6">
        <f t="shared" si="23"/>
        <v>0</v>
      </c>
      <c r="BA25" s="6">
        <f t="shared" si="24"/>
        <v>0</v>
      </c>
      <c r="BB25" s="6">
        <f t="shared" si="25"/>
        <v>0</v>
      </c>
      <c r="BC25" s="6">
        <f t="shared" si="26"/>
        <v>0</v>
      </c>
      <c r="BD25" s="6">
        <f t="shared" si="27"/>
        <v>0</v>
      </c>
      <c r="BE25" s="6">
        <f t="shared" si="28"/>
        <v>0</v>
      </c>
      <c r="BF25" s="6">
        <f t="shared" si="29"/>
        <v>0</v>
      </c>
      <c r="BG25" s="11">
        <f t="shared" si="30"/>
        <v>0</v>
      </c>
      <c r="BH25" s="11">
        <f t="shared" si="31"/>
        <v>0</v>
      </c>
      <c r="BI25" s="6" t="str">
        <f t="shared" si="32"/>
        <v>FAIL</v>
      </c>
      <c r="BJ25" s="37"/>
    </row>
    <row r="26" spans="1:62" x14ac:dyDescent="0.3">
      <c r="A26" s="6"/>
      <c r="B26" s="6">
        <f>'Unit 1'!A26</f>
        <v>0</v>
      </c>
      <c r="C26" s="6">
        <f>'Unit 1'!B26</f>
        <v>0</v>
      </c>
      <c r="D26" s="6" t="str">
        <f>'Unit 1'!$G$2</f>
        <v>i</v>
      </c>
      <c r="E26" s="6">
        <f>'Unit 1'!C26</f>
        <v>0</v>
      </c>
      <c r="F26" s="6">
        <f>'Unit 1'!D26</f>
        <v>0</v>
      </c>
      <c r="G26" s="6">
        <f>'Unit 1'!E26</f>
        <v>0</v>
      </c>
      <c r="H26" s="6">
        <f>'Unit 1'!F26</f>
        <v>0</v>
      </c>
      <c r="I26" s="7">
        <f t="shared" si="0"/>
        <v>0</v>
      </c>
      <c r="J26" s="6">
        <f>'Unit 2'!B26</f>
        <v>0</v>
      </c>
      <c r="K26" s="6">
        <f>'Unit 2'!C26</f>
        <v>0</v>
      </c>
      <c r="L26" s="6">
        <f>'Unit 2'!D26</f>
        <v>0</v>
      </c>
      <c r="M26" s="6">
        <f>'Unit 2'!E26</f>
        <v>0</v>
      </c>
      <c r="N26" s="9">
        <f t="shared" si="1"/>
        <v>0</v>
      </c>
      <c r="O26" s="6">
        <f>'Unit 3'!B26</f>
        <v>0</v>
      </c>
      <c r="P26" s="6">
        <f>'Unit 3'!C26</f>
        <v>0</v>
      </c>
      <c r="Q26" s="6">
        <f>'Unit 3'!D26</f>
        <v>0</v>
      </c>
      <c r="R26" s="6">
        <f>'Unit 3'!E26</f>
        <v>0</v>
      </c>
      <c r="S26" s="8">
        <f t="shared" si="2"/>
        <v>0</v>
      </c>
      <c r="T26" s="6">
        <f>'Unit 4'!B26</f>
        <v>0</v>
      </c>
      <c r="U26" s="6">
        <f>'Unit 4'!C26</f>
        <v>0</v>
      </c>
      <c r="V26" s="6">
        <f>'Unit 4'!D26</f>
        <v>0</v>
      </c>
      <c r="W26" s="6">
        <f>'Unit 4'!E26</f>
        <v>0</v>
      </c>
      <c r="X26" s="9">
        <f t="shared" si="3"/>
        <v>0</v>
      </c>
      <c r="Y26" s="6">
        <f t="shared" si="4"/>
        <v>0</v>
      </c>
      <c r="Z26" s="6">
        <f t="shared" si="5"/>
        <v>0</v>
      </c>
      <c r="AA26" s="6">
        <f t="shared" si="6"/>
        <v>0</v>
      </c>
      <c r="AB26" s="6">
        <f t="shared" si="7"/>
        <v>0</v>
      </c>
      <c r="AC26" s="6">
        <f t="shared" si="8"/>
        <v>0</v>
      </c>
      <c r="AD26" s="6">
        <f>'Half yearly'!B26</f>
        <v>0</v>
      </c>
      <c r="AE26" s="6">
        <f>'Half yearly'!C26</f>
        <v>0</v>
      </c>
      <c r="AF26" s="6">
        <f>'Half yearly'!D26</f>
        <v>0</v>
      </c>
      <c r="AG26" s="6">
        <f>'Half yearly'!E26</f>
        <v>0</v>
      </c>
      <c r="AH26" s="6">
        <f t="shared" si="9"/>
        <v>0</v>
      </c>
      <c r="AI26" s="6">
        <f>Annual!B26</f>
        <v>0</v>
      </c>
      <c r="AJ26" s="6">
        <f>Annual!C26</f>
        <v>0</v>
      </c>
      <c r="AK26" s="6">
        <f>Annual!D26</f>
        <v>0</v>
      </c>
      <c r="AL26" s="6">
        <f>Annual!E26</f>
        <v>0</v>
      </c>
      <c r="AM26" s="10">
        <f t="shared" si="10"/>
        <v>0</v>
      </c>
      <c r="AN26" s="6">
        <f t="shared" si="11"/>
        <v>0</v>
      </c>
      <c r="AO26" s="6">
        <f t="shared" si="12"/>
        <v>0</v>
      </c>
      <c r="AP26" s="6">
        <f t="shared" si="13"/>
        <v>0</v>
      </c>
      <c r="AQ26" s="6">
        <f t="shared" si="14"/>
        <v>0</v>
      </c>
      <c r="AR26" s="6">
        <f t="shared" si="15"/>
        <v>0</v>
      </c>
      <c r="AS26" s="6">
        <f t="shared" si="16"/>
        <v>0</v>
      </c>
      <c r="AT26" s="6">
        <f t="shared" si="17"/>
        <v>0</v>
      </c>
      <c r="AU26" s="6">
        <f t="shared" si="18"/>
        <v>0</v>
      </c>
      <c r="AV26" s="6">
        <f t="shared" si="19"/>
        <v>0</v>
      </c>
      <c r="AW26" s="6">
        <f t="shared" si="20"/>
        <v>0</v>
      </c>
      <c r="AX26" s="6">
        <f t="shared" si="21"/>
        <v>0</v>
      </c>
      <c r="AY26" s="6">
        <f t="shared" si="22"/>
        <v>0</v>
      </c>
      <c r="AZ26" s="6">
        <f t="shared" si="23"/>
        <v>0</v>
      </c>
      <c r="BA26" s="6">
        <f t="shared" si="24"/>
        <v>0</v>
      </c>
      <c r="BB26" s="6">
        <f t="shared" si="25"/>
        <v>0</v>
      </c>
      <c r="BC26" s="6">
        <f t="shared" si="26"/>
        <v>0</v>
      </c>
      <c r="BD26" s="6">
        <f t="shared" si="27"/>
        <v>0</v>
      </c>
      <c r="BE26" s="6">
        <f t="shared" si="28"/>
        <v>0</v>
      </c>
      <c r="BF26" s="6">
        <f t="shared" si="29"/>
        <v>0</v>
      </c>
      <c r="BG26" s="11">
        <f t="shared" si="30"/>
        <v>0</v>
      </c>
      <c r="BH26" s="11">
        <f t="shared" si="31"/>
        <v>0</v>
      </c>
      <c r="BI26" s="6" t="str">
        <f t="shared" si="32"/>
        <v>FAIL</v>
      </c>
      <c r="BJ26" s="37"/>
    </row>
    <row r="27" spans="1:62" x14ac:dyDescent="0.3">
      <c r="A27" s="6"/>
      <c r="B27" s="6">
        <f>'Unit 1'!A27</f>
        <v>0</v>
      </c>
      <c r="C27" s="6">
        <f>'Unit 1'!B27</f>
        <v>0</v>
      </c>
      <c r="D27" s="6" t="str">
        <f>'Unit 1'!$G$2</f>
        <v>i</v>
      </c>
      <c r="E27" s="6">
        <f>'Unit 1'!C27</f>
        <v>0</v>
      </c>
      <c r="F27" s="6">
        <f>'Unit 1'!D27</f>
        <v>0</v>
      </c>
      <c r="G27" s="6">
        <f>'Unit 1'!E27</f>
        <v>0</v>
      </c>
      <c r="H27" s="6">
        <f>'Unit 1'!F27</f>
        <v>0</v>
      </c>
      <c r="I27" s="7">
        <f t="shared" si="0"/>
        <v>0</v>
      </c>
      <c r="J27" s="6">
        <f>'Unit 2'!B27</f>
        <v>0</v>
      </c>
      <c r="K27" s="6">
        <f>'Unit 2'!C27</f>
        <v>0</v>
      </c>
      <c r="L27" s="6">
        <f>'Unit 2'!D27</f>
        <v>0</v>
      </c>
      <c r="M27" s="6">
        <f>'Unit 2'!E27</f>
        <v>0</v>
      </c>
      <c r="N27" s="9">
        <f t="shared" si="1"/>
        <v>0</v>
      </c>
      <c r="O27" s="6">
        <f>'Unit 3'!B27</f>
        <v>0</v>
      </c>
      <c r="P27" s="6">
        <f>'Unit 3'!C27</f>
        <v>0</v>
      </c>
      <c r="Q27" s="6">
        <f>'Unit 3'!D27</f>
        <v>0</v>
      </c>
      <c r="R27" s="6">
        <f>'Unit 3'!E27</f>
        <v>0</v>
      </c>
      <c r="S27" s="8">
        <f t="shared" si="2"/>
        <v>0</v>
      </c>
      <c r="T27" s="6">
        <f>'Unit 4'!B27</f>
        <v>0</v>
      </c>
      <c r="U27" s="6">
        <f>'Unit 4'!C27</f>
        <v>0</v>
      </c>
      <c r="V27" s="6">
        <f>'Unit 4'!D27</f>
        <v>0</v>
      </c>
      <c r="W27" s="6">
        <f>'Unit 4'!E27</f>
        <v>0</v>
      </c>
      <c r="X27" s="9">
        <f t="shared" si="3"/>
        <v>0</v>
      </c>
      <c r="Y27" s="6">
        <f t="shared" si="4"/>
        <v>0</v>
      </c>
      <c r="Z27" s="6">
        <f t="shared" si="5"/>
        <v>0</v>
      </c>
      <c r="AA27" s="6">
        <f t="shared" si="6"/>
        <v>0</v>
      </c>
      <c r="AB27" s="6">
        <f t="shared" si="7"/>
        <v>0</v>
      </c>
      <c r="AC27" s="6">
        <f t="shared" si="8"/>
        <v>0</v>
      </c>
      <c r="AD27" s="6">
        <f>'Half yearly'!B27</f>
        <v>0</v>
      </c>
      <c r="AE27" s="6">
        <f>'Half yearly'!C27</f>
        <v>0</v>
      </c>
      <c r="AF27" s="6">
        <f>'Half yearly'!D27</f>
        <v>0</v>
      </c>
      <c r="AG27" s="6">
        <f>'Half yearly'!E27</f>
        <v>0</v>
      </c>
      <c r="AH27" s="6">
        <f t="shared" si="9"/>
        <v>0</v>
      </c>
      <c r="AI27" s="6">
        <f>Annual!B27</f>
        <v>0</v>
      </c>
      <c r="AJ27" s="6">
        <f>Annual!C27</f>
        <v>0</v>
      </c>
      <c r="AK27" s="6">
        <f>Annual!D27</f>
        <v>0</v>
      </c>
      <c r="AL27" s="6">
        <f>Annual!E27</f>
        <v>0</v>
      </c>
      <c r="AM27" s="10">
        <f t="shared" si="10"/>
        <v>0</v>
      </c>
      <c r="AN27" s="6">
        <f t="shared" si="11"/>
        <v>0</v>
      </c>
      <c r="AO27" s="6">
        <f t="shared" si="12"/>
        <v>0</v>
      </c>
      <c r="AP27" s="6">
        <f t="shared" si="13"/>
        <v>0</v>
      </c>
      <c r="AQ27" s="6">
        <f t="shared" si="14"/>
        <v>0</v>
      </c>
      <c r="AR27" s="6">
        <f t="shared" si="15"/>
        <v>0</v>
      </c>
      <c r="AS27" s="6">
        <f t="shared" si="16"/>
        <v>0</v>
      </c>
      <c r="AT27" s="6">
        <f t="shared" si="17"/>
        <v>0</v>
      </c>
      <c r="AU27" s="6">
        <f t="shared" si="18"/>
        <v>0</v>
      </c>
      <c r="AV27" s="6">
        <f t="shared" si="19"/>
        <v>0</v>
      </c>
      <c r="AW27" s="6">
        <f t="shared" si="20"/>
        <v>0</v>
      </c>
      <c r="AX27" s="6">
        <f t="shared" si="21"/>
        <v>0</v>
      </c>
      <c r="AY27" s="6">
        <f t="shared" si="22"/>
        <v>0</v>
      </c>
      <c r="AZ27" s="6">
        <f t="shared" si="23"/>
        <v>0</v>
      </c>
      <c r="BA27" s="6">
        <f t="shared" si="24"/>
        <v>0</v>
      </c>
      <c r="BB27" s="6">
        <f t="shared" si="25"/>
        <v>0</v>
      </c>
      <c r="BC27" s="6">
        <f t="shared" si="26"/>
        <v>0</v>
      </c>
      <c r="BD27" s="6">
        <f t="shared" si="27"/>
        <v>0</v>
      </c>
      <c r="BE27" s="6">
        <f t="shared" si="28"/>
        <v>0</v>
      </c>
      <c r="BF27" s="6">
        <f t="shared" si="29"/>
        <v>0</v>
      </c>
      <c r="BG27" s="11">
        <f t="shared" si="30"/>
        <v>0</v>
      </c>
      <c r="BH27" s="11">
        <f t="shared" si="31"/>
        <v>0</v>
      </c>
      <c r="BI27" s="6" t="str">
        <f t="shared" si="32"/>
        <v>FAIL</v>
      </c>
      <c r="BJ27" s="37"/>
    </row>
    <row r="28" spans="1:62" x14ac:dyDescent="0.3">
      <c r="A28" s="6"/>
      <c r="B28" s="6">
        <f>'Unit 1'!A28</f>
        <v>0</v>
      </c>
      <c r="C28" s="6">
        <f>'Unit 1'!B28</f>
        <v>0</v>
      </c>
      <c r="D28" s="6" t="str">
        <f>'Unit 1'!$G$2</f>
        <v>i</v>
      </c>
      <c r="E28" s="6">
        <f>'Unit 1'!C28</f>
        <v>0</v>
      </c>
      <c r="F28" s="6">
        <f>'Unit 1'!D28</f>
        <v>0</v>
      </c>
      <c r="G28" s="6">
        <f>'Unit 1'!E28</f>
        <v>0</v>
      </c>
      <c r="H28" s="6">
        <f>'Unit 1'!F28</f>
        <v>0</v>
      </c>
      <c r="I28" s="7">
        <f t="shared" si="0"/>
        <v>0</v>
      </c>
      <c r="J28" s="6">
        <f>'Unit 2'!B28</f>
        <v>0</v>
      </c>
      <c r="K28" s="6">
        <f>'Unit 2'!C28</f>
        <v>0</v>
      </c>
      <c r="L28" s="6">
        <f>'Unit 2'!D28</f>
        <v>0</v>
      </c>
      <c r="M28" s="6">
        <f>'Unit 2'!E28</f>
        <v>0</v>
      </c>
      <c r="N28" s="9">
        <f t="shared" si="1"/>
        <v>0</v>
      </c>
      <c r="O28" s="6">
        <f>'Unit 3'!B28</f>
        <v>0</v>
      </c>
      <c r="P28" s="6">
        <f>'Unit 3'!C28</f>
        <v>0</v>
      </c>
      <c r="Q28" s="6">
        <f>'Unit 3'!D28</f>
        <v>0</v>
      </c>
      <c r="R28" s="6">
        <f>'Unit 3'!E28</f>
        <v>0</v>
      </c>
      <c r="S28" s="8">
        <f t="shared" si="2"/>
        <v>0</v>
      </c>
      <c r="T28" s="6">
        <f>'Unit 4'!B28</f>
        <v>0</v>
      </c>
      <c r="U28" s="6">
        <f>'Unit 4'!C28</f>
        <v>0</v>
      </c>
      <c r="V28" s="6">
        <f>'Unit 4'!D28</f>
        <v>0</v>
      </c>
      <c r="W28" s="6">
        <f>'Unit 4'!E28</f>
        <v>0</v>
      </c>
      <c r="X28" s="9">
        <f t="shared" si="3"/>
        <v>0</v>
      </c>
      <c r="Y28" s="6">
        <f t="shared" si="4"/>
        <v>0</v>
      </c>
      <c r="Z28" s="6">
        <f t="shared" si="5"/>
        <v>0</v>
      </c>
      <c r="AA28" s="6">
        <f t="shared" si="6"/>
        <v>0</v>
      </c>
      <c r="AB28" s="6">
        <f t="shared" si="7"/>
        <v>0</v>
      </c>
      <c r="AC28" s="6">
        <f t="shared" si="8"/>
        <v>0</v>
      </c>
      <c r="AD28" s="6">
        <f>'Half yearly'!B28</f>
        <v>0</v>
      </c>
      <c r="AE28" s="6">
        <f>'Half yearly'!C28</f>
        <v>0</v>
      </c>
      <c r="AF28" s="6">
        <f>'Half yearly'!D28</f>
        <v>0</v>
      </c>
      <c r="AG28" s="6">
        <f>'Half yearly'!E28</f>
        <v>0</v>
      </c>
      <c r="AH28" s="6">
        <f t="shared" si="9"/>
        <v>0</v>
      </c>
      <c r="AI28" s="6">
        <f>Annual!B28</f>
        <v>0</v>
      </c>
      <c r="AJ28" s="6">
        <f>Annual!C28</f>
        <v>0</v>
      </c>
      <c r="AK28" s="6">
        <f>Annual!D28</f>
        <v>0</v>
      </c>
      <c r="AL28" s="6">
        <f>Annual!E28</f>
        <v>0</v>
      </c>
      <c r="AM28" s="10">
        <f t="shared" si="10"/>
        <v>0</v>
      </c>
      <c r="AN28" s="6">
        <f t="shared" si="11"/>
        <v>0</v>
      </c>
      <c r="AO28" s="6">
        <f t="shared" si="12"/>
        <v>0</v>
      </c>
      <c r="AP28" s="6">
        <f t="shared" si="13"/>
        <v>0</v>
      </c>
      <c r="AQ28" s="6">
        <f t="shared" si="14"/>
        <v>0</v>
      </c>
      <c r="AR28" s="6">
        <f t="shared" si="15"/>
        <v>0</v>
      </c>
      <c r="AS28" s="6">
        <f t="shared" si="16"/>
        <v>0</v>
      </c>
      <c r="AT28" s="6">
        <f t="shared" si="17"/>
        <v>0</v>
      </c>
      <c r="AU28" s="6">
        <f t="shared" si="18"/>
        <v>0</v>
      </c>
      <c r="AV28" s="6">
        <f t="shared" si="19"/>
        <v>0</v>
      </c>
      <c r="AW28" s="6">
        <f t="shared" si="20"/>
        <v>0</v>
      </c>
      <c r="AX28" s="6">
        <f t="shared" si="21"/>
        <v>0</v>
      </c>
      <c r="AY28" s="6">
        <f t="shared" si="22"/>
        <v>0</v>
      </c>
      <c r="AZ28" s="6">
        <f t="shared" si="23"/>
        <v>0</v>
      </c>
      <c r="BA28" s="6">
        <f t="shared" si="24"/>
        <v>0</v>
      </c>
      <c r="BB28" s="6">
        <f t="shared" si="25"/>
        <v>0</v>
      </c>
      <c r="BC28" s="6">
        <f t="shared" si="26"/>
        <v>0</v>
      </c>
      <c r="BD28" s="6">
        <f t="shared" si="27"/>
        <v>0</v>
      </c>
      <c r="BE28" s="6">
        <f t="shared" si="28"/>
        <v>0</v>
      </c>
      <c r="BF28" s="6">
        <f t="shared" si="29"/>
        <v>0</v>
      </c>
      <c r="BG28" s="11">
        <f t="shared" si="30"/>
        <v>0</v>
      </c>
      <c r="BH28" s="11">
        <f t="shared" si="31"/>
        <v>0</v>
      </c>
      <c r="BI28" s="6" t="str">
        <f t="shared" si="32"/>
        <v>FAIL</v>
      </c>
      <c r="BJ28" s="37"/>
    </row>
    <row r="29" spans="1:62" x14ac:dyDescent="0.3">
      <c r="A29" s="6"/>
      <c r="B29" s="6">
        <f>'Unit 1'!A29</f>
        <v>0</v>
      </c>
      <c r="C29" s="6">
        <f>'Unit 1'!B29</f>
        <v>0</v>
      </c>
      <c r="D29" s="6" t="str">
        <f>'Unit 1'!$G$2</f>
        <v>i</v>
      </c>
      <c r="E29" s="6">
        <f>'Unit 1'!C29</f>
        <v>0</v>
      </c>
      <c r="F29" s="6">
        <f>'Unit 1'!D29</f>
        <v>0</v>
      </c>
      <c r="G29" s="6">
        <f>'Unit 1'!E29</f>
        <v>0</v>
      </c>
      <c r="H29" s="6">
        <f>'Unit 1'!F29</f>
        <v>0</v>
      </c>
      <c r="I29" s="7">
        <f t="shared" si="0"/>
        <v>0</v>
      </c>
      <c r="J29" s="6">
        <f>'Unit 2'!B29</f>
        <v>0</v>
      </c>
      <c r="K29" s="6">
        <f>'Unit 2'!C29</f>
        <v>0</v>
      </c>
      <c r="L29" s="6">
        <f>'Unit 2'!D29</f>
        <v>0</v>
      </c>
      <c r="M29" s="6">
        <f>'Unit 2'!E29</f>
        <v>0</v>
      </c>
      <c r="N29" s="9">
        <f t="shared" si="1"/>
        <v>0</v>
      </c>
      <c r="O29" s="6">
        <f>'Unit 3'!B29</f>
        <v>0</v>
      </c>
      <c r="P29" s="6">
        <f>'Unit 3'!C29</f>
        <v>0</v>
      </c>
      <c r="Q29" s="6">
        <f>'Unit 3'!D29</f>
        <v>0</v>
      </c>
      <c r="R29" s="6">
        <f>'Unit 3'!E29</f>
        <v>0</v>
      </c>
      <c r="S29" s="8">
        <f t="shared" si="2"/>
        <v>0</v>
      </c>
      <c r="T29" s="6">
        <f>'Unit 4'!B29</f>
        <v>0</v>
      </c>
      <c r="U29" s="6">
        <f>'Unit 4'!C29</f>
        <v>0</v>
      </c>
      <c r="V29" s="6">
        <f>'Unit 4'!D29</f>
        <v>0</v>
      </c>
      <c r="W29" s="6">
        <f>'Unit 4'!E29</f>
        <v>0</v>
      </c>
      <c r="X29" s="9">
        <f t="shared" si="3"/>
        <v>0</v>
      </c>
      <c r="Y29" s="6">
        <f t="shared" si="4"/>
        <v>0</v>
      </c>
      <c r="Z29" s="6">
        <f t="shared" si="5"/>
        <v>0</v>
      </c>
      <c r="AA29" s="6">
        <f t="shared" si="6"/>
        <v>0</v>
      </c>
      <c r="AB29" s="6">
        <f t="shared" si="7"/>
        <v>0</v>
      </c>
      <c r="AC29" s="6">
        <f t="shared" si="8"/>
        <v>0</v>
      </c>
      <c r="AD29" s="6">
        <f>'Half yearly'!B29</f>
        <v>0</v>
      </c>
      <c r="AE29" s="6">
        <f>'Half yearly'!C29</f>
        <v>0</v>
      </c>
      <c r="AF29" s="6">
        <f>'Half yearly'!D29</f>
        <v>0</v>
      </c>
      <c r="AG29" s="6">
        <f>'Half yearly'!E29</f>
        <v>0</v>
      </c>
      <c r="AH29" s="6">
        <f t="shared" si="9"/>
        <v>0</v>
      </c>
      <c r="AI29" s="6">
        <f>Annual!B29</f>
        <v>0</v>
      </c>
      <c r="AJ29" s="6">
        <f>Annual!C29</f>
        <v>0</v>
      </c>
      <c r="AK29" s="6">
        <f>Annual!D29</f>
        <v>0</v>
      </c>
      <c r="AL29" s="6">
        <f>Annual!E29</f>
        <v>0</v>
      </c>
      <c r="AM29" s="10">
        <f t="shared" si="10"/>
        <v>0</v>
      </c>
      <c r="AN29" s="6">
        <f t="shared" si="11"/>
        <v>0</v>
      </c>
      <c r="AO29" s="6">
        <f t="shared" si="12"/>
        <v>0</v>
      </c>
      <c r="AP29" s="6">
        <f t="shared" si="13"/>
        <v>0</v>
      </c>
      <c r="AQ29" s="6">
        <f t="shared" si="14"/>
        <v>0</v>
      </c>
      <c r="AR29" s="6">
        <f t="shared" si="15"/>
        <v>0</v>
      </c>
      <c r="AS29" s="6">
        <f t="shared" si="16"/>
        <v>0</v>
      </c>
      <c r="AT29" s="6">
        <f t="shared" si="17"/>
        <v>0</v>
      </c>
      <c r="AU29" s="6">
        <f t="shared" si="18"/>
        <v>0</v>
      </c>
      <c r="AV29" s="6">
        <f t="shared" si="19"/>
        <v>0</v>
      </c>
      <c r="AW29" s="6">
        <f t="shared" si="20"/>
        <v>0</v>
      </c>
      <c r="AX29" s="6">
        <f t="shared" si="21"/>
        <v>0</v>
      </c>
      <c r="AY29" s="6">
        <f t="shared" si="22"/>
        <v>0</v>
      </c>
      <c r="AZ29" s="6">
        <f t="shared" si="23"/>
        <v>0</v>
      </c>
      <c r="BA29" s="6">
        <f t="shared" si="24"/>
        <v>0</v>
      </c>
      <c r="BB29" s="6">
        <f t="shared" si="25"/>
        <v>0</v>
      </c>
      <c r="BC29" s="6">
        <f t="shared" si="26"/>
        <v>0</v>
      </c>
      <c r="BD29" s="6">
        <f t="shared" si="27"/>
        <v>0</v>
      </c>
      <c r="BE29" s="6">
        <f t="shared" si="28"/>
        <v>0</v>
      </c>
      <c r="BF29" s="6">
        <f t="shared" si="29"/>
        <v>0</v>
      </c>
      <c r="BG29" s="11">
        <f t="shared" si="30"/>
        <v>0</v>
      </c>
      <c r="BH29" s="11">
        <f t="shared" si="31"/>
        <v>0</v>
      </c>
      <c r="BI29" s="6" t="str">
        <f t="shared" si="32"/>
        <v>FAIL</v>
      </c>
      <c r="BJ29" s="37"/>
    </row>
    <row r="30" spans="1:62" x14ac:dyDescent="0.3">
      <c r="A30" s="6"/>
      <c r="B30" s="6">
        <f>'Unit 1'!A30</f>
        <v>0</v>
      </c>
      <c r="C30" s="6">
        <f>'Unit 1'!B30</f>
        <v>0</v>
      </c>
      <c r="D30" s="6" t="str">
        <f>'Unit 1'!$G$2</f>
        <v>i</v>
      </c>
      <c r="E30" s="6">
        <f>'Unit 1'!C30</f>
        <v>0</v>
      </c>
      <c r="F30" s="6">
        <f>'Unit 1'!D30</f>
        <v>0</v>
      </c>
      <c r="G30" s="6">
        <f>'Unit 1'!E30</f>
        <v>0</v>
      </c>
      <c r="H30" s="6">
        <f>'Unit 1'!F30</f>
        <v>0</v>
      </c>
      <c r="I30" s="7">
        <f t="shared" si="0"/>
        <v>0</v>
      </c>
      <c r="J30" s="6">
        <f>'Unit 2'!B30</f>
        <v>0</v>
      </c>
      <c r="K30" s="6">
        <f>'Unit 2'!C30</f>
        <v>0</v>
      </c>
      <c r="L30" s="6">
        <f>'Unit 2'!D30</f>
        <v>0</v>
      </c>
      <c r="M30" s="6">
        <f>'Unit 2'!E30</f>
        <v>0</v>
      </c>
      <c r="N30" s="9">
        <f t="shared" si="1"/>
        <v>0</v>
      </c>
      <c r="O30" s="6">
        <f>'Unit 3'!B30</f>
        <v>0</v>
      </c>
      <c r="P30" s="6">
        <f>'Unit 3'!C30</f>
        <v>0</v>
      </c>
      <c r="Q30" s="6">
        <f>'Unit 3'!D30</f>
        <v>0</v>
      </c>
      <c r="R30" s="6">
        <f>'Unit 3'!E30</f>
        <v>0</v>
      </c>
      <c r="S30" s="8">
        <f t="shared" si="2"/>
        <v>0</v>
      </c>
      <c r="T30" s="6">
        <f>'Unit 4'!B30</f>
        <v>0</v>
      </c>
      <c r="U30" s="6">
        <f>'Unit 4'!C30</f>
        <v>0</v>
      </c>
      <c r="V30" s="6">
        <f>'Unit 4'!D30</f>
        <v>0</v>
      </c>
      <c r="W30" s="6">
        <f>'Unit 4'!E30</f>
        <v>0</v>
      </c>
      <c r="X30" s="9">
        <f t="shared" si="3"/>
        <v>0</v>
      </c>
      <c r="Y30" s="6">
        <f t="shared" si="4"/>
        <v>0</v>
      </c>
      <c r="Z30" s="6">
        <f t="shared" si="5"/>
        <v>0</v>
      </c>
      <c r="AA30" s="6">
        <f t="shared" si="6"/>
        <v>0</v>
      </c>
      <c r="AB30" s="6">
        <f t="shared" si="7"/>
        <v>0</v>
      </c>
      <c r="AC30" s="6">
        <f t="shared" si="8"/>
        <v>0</v>
      </c>
      <c r="AD30" s="6">
        <f>'Half yearly'!B30</f>
        <v>0</v>
      </c>
      <c r="AE30" s="6">
        <f>'Half yearly'!C30</f>
        <v>0</v>
      </c>
      <c r="AF30" s="6">
        <f>'Half yearly'!D30</f>
        <v>0</v>
      </c>
      <c r="AG30" s="6">
        <f>'Half yearly'!E30</f>
        <v>0</v>
      </c>
      <c r="AH30" s="6">
        <f t="shared" si="9"/>
        <v>0</v>
      </c>
      <c r="AI30" s="6">
        <f>Annual!B30</f>
        <v>0</v>
      </c>
      <c r="AJ30" s="6">
        <f>Annual!C30</f>
        <v>0</v>
      </c>
      <c r="AK30" s="6">
        <f>Annual!D30</f>
        <v>0</v>
      </c>
      <c r="AL30" s="6">
        <f>Annual!E30</f>
        <v>0</v>
      </c>
      <c r="AM30" s="10">
        <f t="shared" si="10"/>
        <v>0</v>
      </c>
      <c r="AN30" s="6">
        <f t="shared" si="11"/>
        <v>0</v>
      </c>
      <c r="AO30" s="6">
        <f t="shared" si="12"/>
        <v>0</v>
      </c>
      <c r="AP30" s="6">
        <f t="shared" si="13"/>
        <v>0</v>
      </c>
      <c r="AQ30" s="6">
        <f t="shared" si="14"/>
        <v>0</v>
      </c>
      <c r="AR30" s="6">
        <f t="shared" si="15"/>
        <v>0</v>
      </c>
      <c r="AS30" s="6">
        <f t="shared" si="16"/>
        <v>0</v>
      </c>
      <c r="AT30" s="6">
        <f t="shared" si="17"/>
        <v>0</v>
      </c>
      <c r="AU30" s="6">
        <f t="shared" si="18"/>
        <v>0</v>
      </c>
      <c r="AV30" s="6">
        <f t="shared" si="19"/>
        <v>0</v>
      </c>
      <c r="AW30" s="6">
        <f t="shared" si="20"/>
        <v>0</v>
      </c>
      <c r="AX30" s="6">
        <f t="shared" si="21"/>
        <v>0</v>
      </c>
      <c r="AY30" s="6">
        <f t="shared" si="22"/>
        <v>0</v>
      </c>
      <c r="AZ30" s="6">
        <f t="shared" si="23"/>
        <v>0</v>
      </c>
      <c r="BA30" s="6">
        <f t="shared" si="24"/>
        <v>0</v>
      </c>
      <c r="BB30" s="6">
        <f t="shared" si="25"/>
        <v>0</v>
      </c>
      <c r="BC30" s="6">
        <f t="shared" si="26"/>
        <v>0</v>
      </c>
      <c r="BD30" s="6">
        <f t="shared" si="27"/>
        <v>0</v>
      </c>
      <c r="BE30" s="6">
        <f t="shared" si="28"/>
        <v>0</v>
      </c>
      <c r="BF30" s="6">
        <f t="shared" si="29"/>
        <v>0</v>
      </c>
      <c r="BG30" s="11">
        <f t="shared" si="30"/>
        <v>0</v>
      </c>
      <c r="BH30" s="11">
        <f t="shared" si="31"/>
        <v>0</v>
      </c>
      <c r="BI30" s="6" t="str">
        <f t="shared" si="32"/>
        <v>FAIL</v>
      </c>
      <c r="BJ30" s="37"/>
    </row>
    <row r="31" spans="1:62" x14ac:dyDescent="0.3">
      <c r="A31" s="6"/>
      <c r="B31" s="6">
        <f>'Unit 1'!A31</f>
        <v>0</v>
      </c>
      <c r="C31" s="6">
        <f>'Unit 1'!B31</f>
        <v>0</v>
      </c>
      <c r="D31" s="6" t="str">
        <f>'Unit 1'!$G$2</f>
        <v>i</v>
      </c>
      <c r="E31" s="6">
        <f>'Unit 1'!C31</f>
        <v>0</v>
      </c>
      <c r="F31" s="6">
        <f>'Unit 1'!D31</f>
        <v>0</v>
      </c>
      <c r="G31" s="6">
        <f>'Unit 1'!E31</f>
        <v>0</v>
      </c>
      <c r="H31" s="6">
        <f>'Unit 1'!F31</f>
        <v>0</v>
      </c>
      <c r="I31" s="7">
        <f t="shared" si="0"/>
        <v>0</v>
      </c>
      <c r="J31" s="6">
        <f>'Unit 2'!B31</f>
        <v>0</v>
      </c>
      <c r="K31" s="6">
        <f>'Unit 2'!C31</f>
        <v>0</v>
      </c>
      <c r="L31" s="6">
        <f>'Unit 2'!D31</f>
        <v>0</v>
      </c>
      <c r="M31" s="6">
        <f>'Unit 2'!E31</f>
        <v>0</v>
      </c>
      <c r="N31" s="9">
        <f t="shared" si="1"/>
        <v>0</v>
      </c>
      <c r="O31" s="6">
        <f>'Unit 3'!B31</f>
        <v>0</v>
      </c>
      <c r="P31" s="6">
        <f>'Unit 3'!C31</f>
        <v>0</v>
      </c>
      <c r="Q31" s="6">
        <f>'Unit 3'!D31</f>
        <v>0</v>
      </c>
      <c r="R31" s="6">
        <f>'Unit 3'!E31</f>
        <v>0</v>
      </c>
      <c r="S31" s="8">
        <f t="shared" si="2"/>
        <v>0</v>
      </c>
      <c r="T31" s="6">
        <f>'Unit 4'!B31</f>
        <v>0</v>
      </c>
      <c r="U31" s="6">
        <f>'Unit 4'!C31</f>
        <v>0</v>
      </c>
      <c r="V31" s="6">
        <f>'Unit 4'!D31</f>
        <v>0</v>
      </c>
      <c r="W31" s="6">
        <f>'Unit 4'!E31</f>
        <v>0</v>
      </c>
      <c r="X31" s="9">
        <f t="shared" si="3"/>
        <v>0</v>
      </c>
      <c r="Y31" s="6">
        <f t="shared" si="4"/>
        <v>0</v>
      </c>
      <c r="Z31" s="6">
        <f t="shared" si="5"/>
        <v>0</v>
      </c>
      <c r="AA31" s="6">
        <f t="shared" si="6"/>
        <v>0</v>
      </c>
      <c r="AB31" s="6">
        <f t="shared" si="7"/>
        <v>0</v>
      </c>
      <c r="AC31" s="6">
        <f t="shared" si="8"/>
        <v>0</v>
      </c>
      <c r="AD31" s="6">
        <f>'Half yearly'!B31</f>
        <v>0</v>
      </c>
      <c r="AE31" s="6">
        <f>'Half yearly'!C31</f>
        <v>0</v>
      </c>
      <c r="AF31" s="6">
        <f>'Half yearly'!D31</f>
        <v>0</v>
      </c>
      <c r="AG31" s="6">
        <f>'Half yearly'!E31</f>
        <v>0</v>
      </c>
      <c r="AH31" s="6">
        <f t="shared" si="9"/>
        <v>0</v>
      </c>
      <c r="AI31" s="6">
        <f>Annual!B31</f>
        <v>0</v>
      </c>
      <c r="AJ31" s="6">
        <f>Annual!C31</f>
        <v>0</v>
      </c>
      <c r="AK31" s="6">
        <f>Annual!D31</f>
        <v>0</v>
      </c>
      <c r="AL31" s="6">
        <f>Annual!E31</f>
        <v>0</v>
      </c>
      <c r="AM31" s="10">
        <f t="shared" si="10"/>
        <v>0</v>
      </c>
      <c r="AN31" s="6">
        <f t="shared" si="11"/>
        <v>0</v>
      </c>
      <c r="AO31" s="6">
        <f t="shared" si="12"/>
        <v>0</v>
      </c>
      <c r="AP31" s="6">
        <f t="shared" si="13"/>
        <v>0</v>
      </c>
      <c r="AQ31" s="6">
        <f t="shared" si="14"/>
        <v>0</v>
      </c>
      <c r="AR31" s="6">
        <f t="shared" si="15"/>
        <v>0</v>
      </c>
      <c r="AS31" s="6">
        <f t="shared" si="16"/>
        <v>0</v>
      </c>
      <c r="AT31" s="6">
        <f t="shared" si="17"/>
        <v>0</v>
      </c>
      <c r="AU31" s="6">
        <f t="shared" si="18"/>
        <v>0</v>
      </c>
      <c r="AV31" s="6">
        <f t="shared" si="19"/>
        <v>0</v>
      </c>
      <c r="AW31" s="6">
        <f t="shared" si="20"/>
        <v>0</v>
      </c>
      <c r="AX31" s="6">
        <f t="shared" si="21"/>
        <v>0</v>
      </c>
      <c r="AY31" s="6">
        <f t="shared" si="22"/>
        <v>0</v>
      </c>
      <c r="AZ31" s="6">
        <f t="shared" si="23"/>
        <v>0</v>
      </c>
      <c r="BA31" s="6">
        <f t="shared" si="24"/>
        <v>0</v>
      </c>
      <c r="BB31" s="6">
        <f t="shared" si="25"/>
        <v>0</v>
      </c>
      <c r="BC31" s="6">
        <f t="shared" si="26"/>
        <v>0</v>
      </c>
      <c r="BD31" s="6">
        <f t="shared" si="27"/>
        <v>0</v>
      </c>
      <c r="BE31" s="6">
        <f t="shared" si="28"/>
        <v>0</v>
      </c>
      <c r="BF31" s="6">
        <f t="shared" si="29"/>
        <v>0</v>
      </c>
      <c r="BG31" s="11">
        <f t="shared" si="30"/>
        <v>0</v>
      </c>
      <c r="BH31" s="11">
        <f t="shared" si="31"/>
        <v>0</v>
      </c>
      <c r="BI31" s="6" t="str">
        <f t="shared" si="32"/>
        <v>FAIL</v>
      </c>
      <c r="BJ31" s="37"/>
    </row>
    <row r="32" spans="1:62" x14ac:dyDescent="0.3">
      <c r="A32" s="6"/>
      <c r="B32" s="6">
        <f>'Unit 1'!A32</f>
        <v>0</v>
      </c>
      <c r="C32" s="6">
        <f>'Unit 1'!B32</f>
        <v>0</v>
      </c>
      <c r="D32" s="6" t="str">
        <f>'Unit 1'!$G$2</f>
        <v>i</v>
      </c>
      <c r="E32" s="6">
        <f>'Unit 1'!C32</f>
        <v>0</v>
      </c>
      <c r="F32" s="6">
        <f>'Unit 1'!D32</f>
        <v>0</v>
      </c>
      <c r="G32" s="6">
        <f>'Unit 1'!E32</f>
        <v>0</v>
      </c>
      <c r="H32" s="6">
        <f>'Unit 1'!F32</f>
        <v>0</v>
      </c>
      <c r="I32" s="7">
        <f t="shared" si="0"/>
        <v>0</v>
      </c>
      <c r="J32" s="6">
        <f>'Unit 2'!B32</f>
        <v>0</v>
      </c>
      <c r="K32" s="6">
        <f>'Unit 2'!C32</f>
        <v>0</v>
      </c>
      <c r="L32" s="6">
        <f>'Unit 2'!D32</f>
        <v>0</v>
      </c>
      <c r="M32" s="6">
        <f>'Unit 2'!E32</f>
        <v>0</v>
      </c>
      <c r="N32" s="9">
        <f t="shared" si="1"/>
        <v>0</v>
      </c>
      <c r="O32" s="6">
        <f>'Unit 3'!B32</f>
        <v>0</v>
      </c>
      <c r="P32" s="6">
        <f>'Unit 3'!C32</f>
        <v>0</v>
      </c>
      <c r="Q32" s="6">
        <f>'Unit 3'!D32</f>
        <v>0</v>
      </c>
      <c r="R32" s="6">
        <f>'Unit 3'!E32</f>
        <v>0</v>
      </c>
      <c r="S32" s="8">
        <f t="shared" si="2"/>
        <v>0</v>
      </c>
      <c r="T32" s="6">
        <f>'Unit 4'!B32</f>
        <v>0</v>
      </c>
      <c r="U32" s="6">
        <f>'Unit 4'!C32</f>
        <v>0</v>
      </c>
      <c r="V32" s="6">
        <f>'Unit 4'!D32</f>
        <v>0</v>
      </c>
      <c r="W32" s="6">
        <f>'Unit 4'!E32</f>
        <v>0</v>
      </c>
      <c r="X32" s="9">
        <f t="shared" si="3"/>
        <v>0</v>
      </c>
      <c r="Y32" s="6">
        <f t="shared" si="4"/>
        <v>0</v>
      </c>
      <c r="Z32" s="6">
        <f t="shared" si="5"/>
        <v>0</v>
      </c>
      <c r="AA32" s="6">
        <f t="shared" si="6"/>
        <v>0</v>
      </c>
      <c r="AB32" s="6">
        <f t="shared" si="7"/>
        <v>0</v>
      </c>
      <c r="AC32" s="6">
        <f t="shared" si="8"/>
        <v>0</v>
      </c>
      <c r="AD32" s="6">
        <f>'Half yearly'!B32</f>
        <v>0</v>
      </c>
      <c r="AE32" s="6">
        <f>'Half yearly'!C32</f>
        <v>0</v>
      </c>
      <c r="AF32" s="6">
        <f>'Half yearly'!D32</f>
        <v>0</v>
      </c>
      <c r="AG32" s="6">
        <f>'Half yearly'!E32</f>
        <v>0</v>
      </c>
      <c r="AH32" s="6">
        <f t="shared" si="9"/>
        <v>0</v>
      </c>
      <c r="AI32" s="6">
        <f>Annual!B32</f>
        <v>0</v>
      </c>
      <c r="AJ32" s="6">
        <f>Annual!C32</f>
        <v>0</v>
      </c>
      <c r="AK32" s="6">
        <f>Annual!D32</f>
        <v>0</v>
      </c>
      <c r="AL32" s="6">
        <f>Annual!E32</f>
        <v>0</v>
      </c>
      <c r="AM32" s="10">
        <f t="shared" si="10"/>
        <v>0</v>
      </c>
      <c r="AN32" s="6">
        <f t="shared" si="11"/>
        <v>0</v>
      </c>
      <c r="AO32" s="6">
        <f t="shared" si="12"/>
        <v>0</v>
      </c>
      <c r="AP32" s="6">
        <f t="shared" si="13"/>
        <v>0</v>
      </c>
      <c r="AQ32" s="6">
        <f t="shared" si="14"/>
        <v>0</v>
      </c>
      <c r="AR32" s="6">
        <f t="shared" si="15"/>
        <v>0</v>
      </c>
      <c r="AS32" s="6">
        <f t="shared" si="16"/>
        <v>0</v>
      </c>
      <c r="AT32" s="6">
        <f t="shared" si="17"/>
        <v>0</v>
      </c>
      <c r="AU32" s="6">
        <f t="shared" si="18"/>
        <v>0</v>
      </c>
      <c r="AV32" s="6">
        <f t="shared" si="19"/>
        <v>0</v>
      </c>
      <c r="AW32" s="6">
        <f t="shared" si="20"/>
        <v>0</v>
      </c>
      <c r="AX32" s="6">
        <f t="shared" si="21"/>
        <v>0</v>
      </c>
      <c r="AY32" s="6">
        <f t="shared" si="22"/>
        <v>0</v>
      </c>
      <c r="AZ32" s="6">
        <f t="shared" si="23"/>
        <v>0</v>
      </c>
      <c r="BA32" s="6">
        <f t="shared" si="24"/>
        <v>0</v>
      </c>
      <c r="BB32" s="6">
        <f t="shared" si="25"/>
        <v>0</v>
      </c>
      <c r="BC32" s="6">
        <f t="shared" si="26"/>
        <v>0</v>
      </c>
      <c r="BD32" s="6">
        <f t="shared" si="27"/>
        <v>0</v>
      </c>
      <c r="BE32" s="6">
        <f t="shared" si="28"/>
        <v>0</v>
      </c>
      <c r="BF32" s="6">
        <f t="shared" si="29"/>
        <v>0</v>
      </c>
      <c r="BG32" s="11">
        <f t="shared" si="30"/>
        <v>0</v>
      </c>
      <c r="BH32" s="11">
        <f t="shared" si="31"/>
        <v>0</v>
      </c>
      <c r="BI32" s="6" t="str">
        <f t="shared" si="32"/>
        <v>FAIL</v>
      </c>
      <c r="BJ32" s="37"/>
    </row>
    <row r="33" spans="1:62" x14ac:dyDescent="0.3">
      <c r="A33" s="6"/>
      <c r="B33" s="6">
        <f>'Unit 1'!A33</f>
        <v>0</v>
      </c>
      <c r="C33" s="6">
        <f>'Unit 1'!B33</f>
        <v>0</v>
      </c>
      <c r="D33" s="6" t="str">
        <f>'Unit 1'!$G$2</f>
        <v>i</v>
      </c>
      <c r="E33" s="6">
        <f>'Unit 1'!C33</f>
        <v>0</v>
      </c>
      <c r="F33" s="6">
        <f>'Unit 1'!D33</f>
        <v>0</v>
      </c>
      <c r="G33" s="6">
        <f>'Unit 1'!E33</f>
        <v>0</v>
      </c>
      <c r="H33" s="6">
        <f>'Unit 1'!F33</f>
        <v>0</v>
      </c>
      <c r="I33" s="7">
        <f t="shared" si="0"/>
        <v>0</v>
      </c>
      <c r="J33" s="6">
        <f>'Unit 2'!B33</f>
        <v>0</v>
      </c>
      <c r="K33" s="6">
        <f>'Unit 2'!C33</f>
        <v>0</v>
      </c>
      <c r="L33" s="6">
        <f>'Unit 2'!D33</f>
        <v>0</v>
      </c>
      <c r="M33" s="6">
        <f>'Unit 2'!E33</f>
        <v>0</v>
      </c>
      <c r="N33" s="9">
        <f t="shared" si="1"/>
        <v>0</v>
      </c>
      <c r="O33" s="6">
        <f>'Unit 3'!B33</f>
        <v>0</v>
      </c>
      <c r="P33" s="6">
        <f>'Unit 3'!C33</f>
        <v>0</v>
      </c>
      <c r="Q33" s="6">
        <f>'Unit 3'!D33</f>
        <v>0</v>
      </c>
      <c r="R33" s="6">
        <f>'Unit 3'!E33</f>
        <v>0</v>
      </c>
      <c r="S33" s="8">
        <f t="shared" si="2"/>
        <v>0</v>
      </c>
      <c r="T33" s="6">
        <f>'Unit 4'!B33</f>
        <v>0</v>
      </c>
      <c r="U33" s="6">
        <f>'Unit 4'!C33</f>
        <v>0</v>
      </c>
      <c r="V33" s="6">
        <f>'Unit 4'!D33</f>
        <v>0</v>
      </c>
      <c r="W33" s="6">
        <f>'Unit 4'!E33</f>
        <v>0</v>
      </c>
      <c r="X33" s="9">
        <f t="shared" si="3"/>
        <v>0</v>
      </c>
      <c r="Y33" s="6">
        <f t="shared" si="4"/>
        <v>0</v>
      </c>
      <c r="Z33" s="6">
        <f t="shared" si="5"/>
        <v>0</v>
      </c>
      <c r="AA33" s="6">
        <f t="shared" si="6"/>
        <v>0</v>
      </c>
      <c r="AB33" s="6">
        <f t="shared" si="7"/>
        <v>0</v>
      </c>
      <c r="AC33" s="6">
        <f t="shared" si="8"/>
        <v>0</v>
      </c>
      <c r="AD33" s="6">
        <f>'Half yearly'!B33</f>
        <v>0</v>
      </c>
      <c r="AE33" s="6">
        <f>'Half yearly'!C33</f>
        <v>0</v>
      </c>
      <c r="AF33" s="6">
        <f>'Half yearly'!D33</f>
        <v>0</v>
      </c>
      <c r="AG33" s="6">
        <f>'Half yearly'!E33</f>
        <v>0</v>
      </c>
      <c r="AH33" s="6">
        <f t="shared" si="9"/>
        <v>0</v>
      </c>
      <c r="AI33" s="6">
        <f>Annual!B33</f>
        <v>0</v>
      </c>
      <c r="AJ33" s="6">
        <f>Annual!C33</f>
        <v>0</v>
      </c>
      <c r="AK33" s="6">
        <f>Annual!D33</f>
        <v>0</v>
      </c>
      <c r="AL33" s="6">
        <f>Annual!E33</f>
        <v>0</v>
      </c>
      <c r="AM33" s="10">
        <f t="shared" si="10"/>
        <v>0</v>
      </c>
      <c r="AN33" s="6">
        <f t="shared" si="11"/>
        <v>0</v>
      </c>
      <c r="AO33" s="6">
        <f t="shared" si="12"/>
        <v>0</v>
      </c>
      <c r="AP33" s="6">
        <f t="shared" si="13"/>
        <v>0</v>
      </c>
      <c r="AQ33" s="6">
        <f t="shared" si="14"/>
        <v>0</v>
      </c>
      <c r="AR33" s="6">
        <f t="shared" si="15"/>
        <v>0</v>
      </c>
      <c r="AS33" s="6">
        <f t="shared" si="16"/>
        <v>0</v>
      </c>
      <c r="AT33" s="6">
        <f t="shared" si="17"/>
        <v>0</v>
      </c>
      <c r="AU33" s="6">
        <f t="shared" si="18"/>
        <v>0</v>
      </c>
      <c r="AV33" s="6">
        <f t="shared" si="19"/>
        <v>0</v>
      </c>
      <c r="AW33" s="6">
        <f t="shared" si="20"/>
        <v>0</v>
      </c>
      <c r="AX33" s="6">
        <f t="shared" si="21"/>
        <v>0</v>
      </c>
      <c r="AY33" s="6">
        <f t="shared" si="22"/>
        <v>0</v>
      </c>
      <c r="AZ33" s="6">
        <f t="shared" si="23"/>
        <v>0</v>
      </c>
      <c r="BA33" s="6">
        <f t="shared" si="24"/>
        <v>0</v>
      </c>
      <c r="BB33" s="6">
        <f t="shared" si="25"/>
        <v>0</v>
      </c>
      <c r="BC33" s="6">
        <f t="shared" si="26"/>
        <v>0</v>
      </c>
      <c r="BD33" s="6">
        <f t="shared" si="27"/>
        <v>0</v>
      </c>
      <c r="BE33" s="6">
        <f t="shared" si="28"/>
        <v>0</v>
      </c>
      <c r="BF33" s="6">
        <f t="shared" si="29"/>
        <v>0</v>
      </c>
      <c r="BG33" s="11">
        <f t="shared" si="30"/>
        <v>0</v>
      </c>
      <c r="BH33" s="11">
        <f t="shared" si="31"/>
        <v>0</v>
      </c>
      <c r="BI33" s="6" t="str">
        <f t="shared" si="32"/>
        <v>FAIL</v>
      </c>
      <c r="BJ33" s="37"/>
    </row>
    <row r="34" spans="1:62" x14ac:dyDescent="0.3">
      <c r="A34" s="6"/>
      <c r="B34" s="6">
        <f>'Unit 1'!A34</f>
        <v>0</v>
      </c>
      <c r="C34" s="6">
        <f>'Unit 1'!B34</f>
        <v>0</v>
      </c>
      <c r="D34" s="6" t="str">
        <f>'Unit 1'!$G$2</f>
        <v>i</v>
      </c>
      <c r="E34" s="6">
        <f>'Unit 1'!C34</f>
        <v>0</v>
      </c>
      <c r="F34" s="6">
        <f>'Unit 1'!D34</f>
        <v>0</v>
      </c>
      <c r="G34" s="6">
        <f>'Unit 1'!E34</f>
        <v>0</v>
      </c>
      <c r="H34" s="6">
        <f>'Unit 1'!F34</f>
        <v>0</v>
      </c>
      <c r="I34" s="7">
        <f t="shared" ref="I34:I60" si="33">SUM(E34:H34)</f>
        <v>0</v>
      </c>
      <c r="J34" s="6">
        <f>'Unit 2'!B34</f>
        <v>0</v>
      </c>
      <c r="K34" s="6">
        <f>'Unit 2'!C34</f>
        <v>0</v>
      </c>
      <c r="L34" s="6">
        <f>'Unit 2'!D34</f>
        <v>0</v>
      </c>
      <c r="M34" s="6">
        <f>'Unit 2'!E34</f>
        <v>0</v>
      </c>
      <c r="N34" s="9">
        <f t="shared" ref="N34:N60" si="34">SUM(J34:M34)</f>
        <v>0</v>
      </c>
      <c r="O34" s="6">
        <f>'Unit 3'!B34</f>
        <v>0</v>
      </c>
      <c r="P34" s="6">
        <f>'Unit 3'!C34</f>
        <v>0</v>
      </c>
      <c r="Q34" s="6">
        <f>'Unit 3'!D34</f>
        <v>0</v>
      </c>
      <c r="R34" s="6">
        <f>'Unit 3'!E34</f>
        <v>0</v>
      </c>
      <c r="S34" s="8">
        <f t="shared" ref="S34:S60" si="35">SUM(O34:R34)</f>
        <v>0</v>
      </c>
      <c r="T34" s="6">
        <f>'Unit 4'!B34</f>
        <v>0</v>
      </c>
      <c r="U34" s="6">
        <f>'Unit 4'!C34</f>
        <v>0</v>
      </c>
      <c r="V34" s="6">
        <f>'Unit 4'!D34</f>
        <v>0</v>
      </c>
      <c r="W34" s="6">
        <f>'Unit 4'!E34</f>
        <v>0</v>
      </c>
      <c r="X34" s="9">
        <f t="shared" ref="X34:X60" si="36">SUM(T34:W34)</f>
        <v>0</v>
      </c>
      <c r="Y34" s="6">
        <f t="shared" ref="Y34:Y60" si="37">SUM(E34,J34,O34,T34,)</f>
        <v>0</v>
      </c>
      <c r="Z34" s="6">
        <f t="shared" ref="Z34:Z60" si="38">SUM(F34,K34,P34,U34,)</f>
        <v>0</v>
      </c>
      <c r="AA34" s="6">
        <f t="shared" ref="AA34:AA60" si="39">SUM(G34,L34,Q34,V34,)</f>
        <v>0</v>
      </c>
      <c r="AB34" s="6">
        <f t="shared" ref="AB34:AB60" si="40">SUM(H34,M34,R34,W34,)</f>
        <v>0</v>
      </c>
      <c r="AC34" s="6">
        <f t="shared" ref="AC34:AC60" si="41">SUM(Y34:AB34)</f>
        <v>0</v>
      </c>
      <c r="AD34" s="6">
        <f>'Half yearly'!B34</f>
        <v>0</v>
      </c>
      <c r="AE34" s="6">
        <f>'Half yearly'!C34</f>
        <v>0</v>
      </c>
      <c r="AF34" s="6">
        <f>'Half yearly'!D34</f>
        <v>0</v>
      </c>
      <c r="AG34" s="6">
        <f>'Half yearly'!E34</f>
        <v>0</v>
      </c>
      <c r="AH34" s="6">
        <f t="shared" ref="AH34:AH60" si="42">SUM(AD34:AG34)</f>
        <v>0</v>
      </c>
      <c r="AI34" s="6">
        <f>Annual!B34</f>
        <v>0</v>
      </c>
      <c r="AJ34" s="6">
        <f>Annual!C34</f>
        <v>0</v>
      </c>
      <c r="AK34" s="6">
        <f>Annual!D34</f>
        <v>0</v>
      </c>
      <c r="AL34" s="6">
        <f>Annual!E34</f>
        <v>0</v>
      </c>
      <c r="AM34" s="10">
        <f t="shared" ref="AM34:AM60" si="43">SUM(AI34:AL34)</f>
        <v>0</v>
      </c>
      <c r="AN34" s="6">
        <f t="shared" ref="AN34:AN60" si="44">IF(INT(SUM(E34, J34, O34, T34) * 0.2) &lt;&gt; A33, IF(SUM(E34, J34, O34, T34) * 0.2 - INT(SUM(E34, J34, O34, T34) * 0.2) &gt;= 0.5, ROUNDUP(SUM(E34, J34, O34, T34) * 0.2, 0), ROUNDDOWN(SUM(E34, J34, O34, T34) * 0.2, 0)), SUM(E34, J34, O34, T34) * 0.2)</f>
        <v>0</v>
      </c>
      <c r="AO34" s="6">
        <f t="shared" ref="AO34:AO60" si="45">IF(INT(SUM(F34, K34, P34, U34) * 0.2) &lt;&gt; B33, IF(SUM(F34, K34, P34, U34) * 0.2 - INT(SUM(F34, K34, P34, U34) * 0.2) &gt;= 0.5, ROUNDUP(SUM(F34, K34, P34, U34) * 0.2, 0), ROUNDDOWN(SUM(F34, K34, P34, U34) * 0.2, 0)), SUM(F34, K34, P34, U34) * 0.2)</f>
        <v>0</v>
      </c>
      <c r="AP34" s="6">
        <f t="shared" ref="AP34:AP60" si="46">IF(INT(SUM(G34, L34, Q34, V34) * 0.2) &lt;&gt; C33, IF(SUM(G34, L34, Q34, V34) * 0.2 - INT(SUM(G34, L34, Q34, V34) * 0.2) &gt;= 0.5, ROUNDUP(SUM(G34, L34, Q34, V34) * 0.2, 0), ROUNDDOWN(SUM(G34, L34, Q34, V34) * 0.2, 0)), SUM(G34, L34, Q34, V34) * 0.2)</f>
        <v>0</v>
      </c>
      <c r="AQ34" s="6">
        <f t="shared" ref="AQ34:AQ60" si="47">IF(INT(SUM(H34, M34, R34, W34) * 0.2) &lt;&gt; E33, IF(SUM(H34, M34, R34, W34) * 0.2 - INT(SUM(H34, M34, R34, W34) * 0.2) &gt;= 0.5, ROUNDUP(SUM(H34, M34, R34, W34) * 0.2, 0), ROUNDDOWN(SUM(H34, M34, R34, W34) * 0.2, 0)), SUM(H34, M34, R34, W34) * 0.2)</f>
        <v>0</v>
      </c>
      <c r="AR34" s="6">
        <f t="shared" ref="AR34:AR60" si="48">IF(INT(SUM(I34, N34, S34, X34) * 0.2) &lt;&gt; G33, IF(SUM(I34, N34, S34, X34) * 0.2 - INT(SUM(I34, N34, S34, X34) * 0.2) &gt;= 0.5, ROUNDUP(SUM(I34, N34, S34, X34) * 0.2, 0), ROUNDDOWN(SUM(I34, N34, S34, X34) * 0.2, 0)), SUM(I34, N34, S34, X34) * 0.2)</f>
        <v>0</v>
      </c>
      <c r="AS34" s="6">
        <f t="shared" ref="AS34:AS60" si="49">IF(INT(SUM(AD34) * 0.3) &lt;&gt; A33, IF(SUM(AD34) * 0.3 - INT(SUM(AD34) * 0.3) &gt;= 0.5, ROUNDUP(SUM(AD34) * 0.3, 0), ROUNDDOWN(SUM(AD34) * 0.3, 0)), SUM(AD34) * 0.3)</f>
        <v>0</v>
      </c>
      <c r="AT34" s="6">
        <f t="shared" ref="AT34:AT60" si="50">IF(INT(SUM(AE34) * 0.3) &lt;&gt; B33, IF(SUM(AE34) * 0.3 - INT(SUM(AE34) * 0.3) &gt;= 0.5, ROUNDUP(SUM(AE34) * 0.3, 0), ROUNDDOWN(SUM(AE34) * 0.3, 0)), SUM(AE34) * 0.3)</f>
        <v>0</v>
      </c>
      <c r="AU34" s="6">
        <f t="shared" ref="AU34:AU60" si="51">IF(INT(SUM(AF34) * 0.3) &lt;&gt; C33, IF(SUM(AF34) * 0.3 - INT(SUM(AF34) * 0.3) &gt;= 0.5, ROUNDUP(SUM(AF34) * 0.3, 0), ROUNDDOWN(SUM(AF34) * 0.3, 0)), SUM(AF34) * 0.3)</f>
        <v>0</v>
      </c>
      <c r="AV34" s="6">
        <f t="shared" ref="AV34:AV60" si="52">IF(INT(SUM(AG34) * 0.3) &lt;&gt; E33, IF(SUM(AG34) * 0.3 - INT(SUM(AG34) * 0.3) &gt;= 0.5, ROUNDUP(SUM(AG34) * 0.3, 0), ROUNDDOWN(SUM(AG34) * 0.3, 0)), SUM(AG34) * 0.3)</f>
        <v>0</v>
      </c>
      <c r="AW34" s="6">
        <f t="shared" ref="AW34:AW60" si="53">IF(INT(SUM(AH34) * 0.3) &lt;&gt; G33, IF(SUM(AH34) * 0.3 - INT(SUM(AH34) * 0.3) &gt;= 0.5, ROUNDUP(SUM(AH34) * 0.3, 0), ROUNDDOWN(SUM(AH34) * 0.3, 0)), SUM(AH34) * 0.3)</f>
        <v>0</v>
      </c>
      <c r="AX34" s="6">
        <f t="shared" ref="AX34:AX60" si="54">IF(INT(SUM(AI34) * 0.5) &lt;&gt; A33, IF(SUM(AI34) * 0.5 - INT(SUM(AI34) * 0.5) &gt;= 0.5, ROUNDUP(SUM(AI34) * 0.5, 0), ROUNDDOWN(SUM(AI34) * 0.5, 0)), SUM(AI34) * 0.5)</f>
        <v>0</v>
      </c>
      <c r="AY34" s="6">
        <f t="shared" ref="AY34:AY60" si="55">IF(INT(SUM(AJ34) * 0.5) &lt;&gt; B33, IF(SUM(AJ34) * 0.5 - INT(SUM(AJ34) * 0.5) &gt;= 0.5, ROUNDUP(SUM(AJ34) * 0.5, 0), ROUNDDOWN(SUM(AJ34) * 0.5, 0)), SUM(AJ34) * 0.5)</f>
        <v>0</v>
      </c>
      <c r="AZ34" s="6">
        <f t="shared" ref="AZ34:AZ60" si="56">IF(INT(SUM(AK34) * 0.5) &lt;&gt; C33, IF(SUM(AK34) * 0.5 - INT(SUM(AK34) * 0.5) &gt;= 0.5, ROUNDUP(SUM(AK34) * 0.5, 0), ROUNDDOWN(SUM(AK34) * 0.5, 0)), SUM(AK34) * 0.5)</f>
        <v>0</v>
      </c>
      <c r="BA34" s="6">
        <f t="shared" ref="BA34:BA60" si="57">IF(INT(SUM(AL34) * 0.5) &lt;&gt; E33, IF(SUM(AL34) * 0.5 - INT(SUM(AL34) * 0.5) &gt;= 0.5, ROUNDUP(SUM(AL34) * 0.5, 0), ROUNDDOWN(SUM(AL34) * 0.5, 0)), SUM(AL34) * 0.5)</f>
        <v>0</v>
      </c>
      <c r="BB34" s="6">
        <f t="shared" ref="BB34:BB60" si="58">IF(INT(SUM(AM34) * 0.5) &lt;&gt; G33, IF(SUM(AM34) * 0.5 - INT(SUM(AM34) * 0.5) &gt;= 0.5, ROUNDUP(SUM(AM34) * 0.5, 0), ROUNDDOWN(SUM(AM34) * 0.5, 0)), SUM(AM34) * 0.5)</f>
        <v>0</v>
      </c>
      <c r="BC34" s="6">
        <f t="shared" ref="BC34:BC60" si="59">SUM(AN34,AS34,AX34)</f>
        <v>0</v>
      </c>
      <c r="BD34" s="6">
        <f t="shared" ref="BD34:BD60" si="60">SUM(AO34,AT34,AY34)</f>
        <v>0</v>
      </c>
      <c r="BE34" s="6">
        <f t="shared" ref="BE34:BE60" si="61">SUM(AP34,AU34,AZ34)</f>
        <v>0</v>
      </c>
      <c r="BF34" s="6">
        <f t="shared" ref="BF34:BF60" si="62">SUM(AQ34,AV34,BA34)</f>
        <v>0</v>
      </c>
      <c r="BG34" s="11">
        <f t="shared" ref="BG34:BG60" si="63">SUM(BC34:BF34)</f>
        <v>0</v>
      </c>
      <c r="BH34" s="11">
        <f t="shared" si="31"/>
        <v>0</v>
      </c>
      <c r="BI34" s="6" t="str">
        <f t="shared" si="32"/>
        <v>FAIL</v>
      </c>
      <c r="BJ34" s="37"/>
    </row>
    <row r="35" spans="1:62" x14ac:dyDescent="0.3">
      <c r="A35" s="6"/>
      <c r="B35" s="6">
        <f>'Unit 1'!A35</f>
        <v>0</v>
      </c>
      <c r="C35" s="6">
        <f>'Unit 1'!B35</f>
        <v>0</v>
      </c>
      <c r="D35" s="6" t="str">
        <f>'Unit 1'!$G$2</f>
        <v>i</v>
      </c>
      <c r="E35" s="6">
        <f>'Unit 1'!C35</f>
        <v>0</v>
      </c>
      <c r="F35" s="6">
        <f>'Unit 1'!D35</f>
        <v>0</v>
      </c>
      <c r="G35" s="6">
        <f>'Unit 1'!E35</f>
        <v>0</v>
      </c>
      <c r="H35" s="6">
        <f>'Unit 1'!F35</f>
        <v>0</v>
      </c>
      <c r="I35" s="7">
        <f t="shared" si="33"/>
        <v>0</v>
      </c>
      <c r="J35" s="6">
        <f>'Unit 2'!B35</f>
        <v>0</v>
      </c>
      <c r="K35" s="6">
        <f>'Unit 2'!C35</f>
        <v>0</v>
      </c>
      <c r="L35" s="6">
        <f>'Unit 2'!D35</f>
        <v>0</v>
      </c>
      <c r="M35" s="6">
        <f>'Unit 2'!E35</f>
        <v>0</v>
      </c>
      <c r="N35" s="9">
        <f t="shared" si="34"/>
        <v>0</v>
      </c>
      <c r="O35" s="6">
        <f>'Unit 3'!B35</f>
        <v>0</v>
      </c>
      <c r="P35" s="6">
        <f>'Unit 3'!C35</f>
        <v>0</v>
      </c>
      <c r="Q35" s="6">
        <f>'Unit 3'!D35</f>
        <v>0</v>
      </c>
      <c r="R35" s="6">
        <f>'Unit 3'!E35</f>
        <v>0</v>
      </c>
      <c r="S35" s="8">
        <f t="shared" si="35"/>
        <v>0</v>
      </c>
      <c r="T35" s="6">
        <f>'Unit 4'!B35</f>
        <v>0</v>
      </c>
      <c r="U35" s="6">
        <f>'Unit 4'!C35</f>
        <v>0</v>
      </c>
      <c r="V35" s="6">
        <f>'Unit 4'!D35</f>
        <v>0</v>
      </c>
      <c r="W35" s="6">
        <f>'Unit 4'!E35</f>
        <v>0</v>
      </c>
      <c r="X35" s="9">
        <f t="shared" si="36"/>
        <v>0</v>
      </c>
      <c r="Y35" s="6">
        <f t="shared" si="37"/>
        <v>0</v>
      </c>
      <c r="Z35" s="6">
        <f t="shared" si="38"/>
        <v>0</v>
      </c>
      <c r="AA35" s="6">
        <f t="shared" si="39"/>
        <v>0</v>
      </c>
      <c r="AB35" s="6">
        <f t="shared" si="40"/>
        <v>0</v>
      </c>
      <c r="AC35" s="6">
        <f t="shared" si="41"/>
        <v>0</v>
      </c>
      <c r="AD35" s="6">
        <f>'Half yearly'!B35</f>
        <v>0</v>
      </c>
      <c r="AE35" s="6">
        <f>'Half yearly'!C35</f>
        <v>0</v>
      </c>
      <c r="AF35" s="6">
        <f>'Half yearly'!D35</f>
        <v>0</v>
      </c>
      <c r="AG35" s="6">
        <f>'Half yearly'!E35</f>
        <v>0</v>
      </c>
      <c r="AH35" s="6">
        <f t="shared" si="42"/>
        <v>0</v>
      </c>
      <c r="AI35" s="6">
        <f>Annual!B35</f>
        <v>0</v>
      </c>
      <c r="AJ35" s="6">
        <f>Annual!C35</f>
        <v>0</v>
      </c>
      <c r="AK35" s="6">
        <f>Annual!D35</f>
        <v>0</v>
      </c>
      <c r="AL35" s="6">
        <f>Annual!E35</f>
        <v>0</v>
      </c>
      <c r="AM35" s="10">
        <f t="shared" si="43"/>
        <v>0</v>
      </c>
      <c r="AN35" s="6">
        <f t="shared" si="44"/>
        <v>0</v>
      </c>
      <c r="AO35" s="6">
        <f t="shared" si="45"/>
        <v>0</v>
      </c>
      <c r="AP35" s="6">
        <f t="shared" si="46"/>
        <v>0</v>
      </c>
      <c r="AQ35" s="6">
        <f t="shared" si="47"/>
        <v>0</v>
      </c>
      <c r="AR35" s="6">
        <f t="shared" si="48"/>
        <v>0</v>
      </c>
      <c r="AS35" s="6">
        <f t="shared" si="49"/>
        <v>0</v>
      </c>
      <c r="AT35" s="6">
        <f t="shared" si="50"/>
        <v>0</v>
      </c>
      <c r="AU35" s="6">
        <f t="shared" si="51"/>
        <v>0</v>
      </c>
      <c r="AV35" s="6">
        <f t="shared" si="52"/>
        <v>0</v>
      </c>
      <c r="AW35" s="6">
        <f t="shared" si="53"/>
        <v>0</v>
      </c>
      <c r="AX35" s="6">
        <f t="shared" si="54"/>
        <v>0</v>
      </c>
      <c r="AY35" s="6">
        <f t="shared" si="55"/>
        <v>0</v>
      </c>
      <c r="AZ35" s="6">
        <f t="shared" si="56"/>
        <v>0</v>
      </c>
      <c r="BA35" s="6">
        <f t="shared" si="57"/>
        <v>0</v>
      </c>
      <c r="BB35" s="6">
        <f t="shared" si="58"/>
        <v>0</v>
      </c>
      <c r="BC35" s="6">
        <f t="shared" si="59"/>
        <v>0</v>
      </c>
      <c r="BD35" s="6">
        <f t="shared" si="60"/>
        <v>0</v>
      </c>
      <c r="BE35" s="6">
        <f t="shared" si="61"/>
        <v>0</v>
      </c>
      <c r="BF35" s="6">
        <f t="shared" si="62"/>
        <v>0</v>
      </c>
      <c r="BG35" s="11">
        <f t="shared" si="63"/>
        <v>0</v>
      </c>
      <c r="BH35" s="11">
        <f t="shared" ref="BH35:BH60" si="64">SUM(BC35:BF35)/500*100</f>
        <v>0</v>
      </c>
      <c r="BI35" s="6" t="str">
        <f t="shared" si="32"/>
        <v>FAIL</v>
      </c>
      <c r="BJ35" s="37"/>
    </row>
    <row r="36" spans="1:62" x14ac:dyDescent="0.3">
      <c r="A36" s="6"/>
      <c r="B36" s="6">
        <f>'Unit 1'!A36</f>
        <v>0</v>
      </c>
      <c r="C36" s="6">
        <f>'Unit 1'!B36</f>
        <v>0</v>
      </c>
      <c r="D36" s="6" t="str">
        <f>'Unit 1'!$G$2</f>
        <v>i</v>
      </c>
      <c r="E36" s="6">
        <f>'Unit 1'!C36</f>
        <v>0</v>
      </c>
      <c r="F36" s="6">
        <f>'Unit 1'!D36</f>
        <v>0</v>
      </c>
      <c r="G36" s="6">
        <f>'Unit 1'!E36</f>
        <v>0</v>
      </c>
      <c r="H36" s="6">
        <f>'Unit 1'!F36</f>
        <v>0</v>
      </c>
      <c r="I36" s="7">
        <f t="shared" si="33"/>
        <v>0</v>
      </c>
      <c r="J36" s="6">
        <f>'Unit 2'!B36</f>
        <v>0</v>
      </c>
      <c r="K36" s="6">
        <f>'Unit 2'!C36</f>
        <v>0</v>
      </c>
      <c r="L36" s="6">
        <f>'Unit 2'!D36</f>
        <v>0</v>
      </c>
      <c r="M36" s="6">
        <f>'Unit 2'!E36</f>
        <v>0</v>
      </c>
      <c r="N36" s="9">
        <f t="shared" si="34"/>
        <v>0</v>
      </c>
      <c r="O36" s="6">
        <f>'Unit 3'!B36</f>
        <v>0</v>
      </c>
      <c r="P36" s="6">
        <f>'Unit 3'!C36</f>
        <v>0</v>
      </c>
      <c r="Q36" s="6">
        <f>'Unit 3'!D36</f>
        <v>0</v>
      </c>
      <c r="R36" s="6">
        <f>'Unit 3'!E36</f>
        <v>0</v>
      </c>
      <c r="S36" s="8">
        <f t="shared" si="35"/>
        <v>0</v>
      </c>
      <c r="T36" s="6">
        <f>'Unit 4'!B36</f>
        <v>0</v>
      </c>
      <c r="U36" s="6">
        <f>'Unit 4'!C36</f>
        <v>0</v>
      </c>
      <c r="V36" s="6">
        <f>'Unit 4'!D36</f>
        <v>0</v>
      </c>
      <c r="W36" s="6">
        <f>'Unit 4'!E36</f>
        <v>0</v>
      </c>
      <c r="X36" s="9">
        <f t="shared" si="36"/>
        <v>0</v>
      </c>
      <c r="Y36" s="6">
        <f t="shared" si="37"/>
        <v>0</v>
      </c>
      <c r="Z36" s="6">
        <f t="shared" si="38"/>
        <v>0</v>
      </c>
      <c r="AA36" s="6">
        <f t="shared" si="39"/>
        <v>0</v>
      </c>
      <c r="AB36" s="6">
        <f t="shared" si="40"/>
        <v>0</v>
      </c>
      <c r="AC36" s="6">
        <f t="shared" si="41"/>
        <v>0</v>
      </c>
      <c r="AD36" s="6">
        <f>'Half yearly'!B36</f>
        <v>0</v>
      </c>
      <c r="AE36" s="6">
        <f>'Half yearly'!C36</f>
        <v>0</v>
      </c>
      <c r="AF36" s="6">
        <f>'Half yearly'!D36</f>
        <v>0</v>
      </c>
      <c r="AG36" s="6">
        <f>'Half yearly'!E36</f>
        <v>0</v>
      </c>
      <c r="AH36" s="6">
        <f t="shared" si="42"/>
        <v>0</v>
      </c>
      <c r="AI36" s="6">
        <f>Annual!B36</f>
        <v>0</v>
      </c>
      <c r="AJ36" s="6">
        <f>Annual!C36</f>
        <v>0</v>
      </c>
      <c r="AK36" s="6">
        <f>Annual!D36</f>
        <v>0</v>
      </c>
      <c r="AL36" s="6">
        <f>Annual!E36</f>
        <v>0</v>
      </c>
      <c r="AM36" s="10">
        <f t="shared" si="43"/>
        <v>0</v>
      </c>
      <c r="AN36" s="6">
        <f t="shared" si="44"/>
        <v>0</v>
      </c>
      <c r="AO36" s="6">
        <f t="shared" si="45"/>
        <v>0</v>
      </c>
      <c r="AP36" s="6">
        <f t="shared" si="46"/>
        <v>0</v>
      </c>
      <c r="AQ36" s="6">
        <f t="shared" si="47"/>
        <v>0</v>
      </c>
      <c r="AR36" s="6">
        <f t="shared" si="48"/>
        <v>0</v>
      </c>
      <c r="AS36" s="6">
        <f t="shared" si="49"/>
        <v>0</v>
      </c>
      <c r="AT36" s="6">
        <f t="shared" si="50"/>
        <v>0</v>
      </c>
      <c r="AU36" s="6">
        <f t="shared" si="51"/>
        <v>0</v>
      </c>
      <c r="AV36" s="6">
        <f t="shared" si="52"/>
        <v>0</v>
      </c>
      <c r="AW36" s="6">
        <f t="shared" si="53"/>
        <v>0</v>
      </c>
      <c r="AX36" s="6">
        <f t="shared" si="54"/>
        <v>0</v>
      </c>
      <c r="AY36" s="6">
        <f t="shared" si="55"/>
        <v>0</v>
      </c>
      <c r="AZ36" s="6">
        <f t="shared" si="56"/>
        <v>0</v>
      </c>
      <c r="BA36" s="6">
        <f t="shared" si="57"/>
        <v>0</v>
      </c>
      <c r="BB36" s="6">
        <f t="shared" si="58"/>
        <v>0</v>
      </c>
      <c r="BC36" s="6">
        <f t="shared" si="59"/>
        <v>0</v>
      </c>
      <c r="BD36" s="6">
        <f t="shared" si="60"/>
        <v>0</v>
      </c>
      <c r="BE36" s="6">
        <f t="shared" si="61"/>
        <v>0</v>
      </c>
      <c r="BF36" s="6">
        <f t="shared" si="62"/>
        <v>0</v>
      </c>
      <c r="BG36" s="11">
        <f t="shared" si="63"/>
        <v>0</v>
      </c>
      <c r="BH36" s="11">
        <f t="shared" si="64"/>
        <v>0</v>
      </c>
      <c r="BI36" s="6" t="str">
        <f t="shared" si="32"/>
        <v>FAIL</v>
      </c>
      <c r="BJ36" s="37"/>
    </row>
    <row r="37" spans="1:62" x14ac:dyDescent="0.3">
      <c r="A37" s="6"/>
      <c r="B37" s="6">
        <f>'Unit 1'!A37</f>
        <v>0</v>
      </c>
      <c r="C37" s="6">
        <f>'Unit 1'!B37</f>
        <v>0</v>
      </c>
      <c r="D37" s="6" t="str">
        <f>'Unit 1'!$G$2</f>
        <v>i</v>
      </c>
      <c r="E37" s="6">
        <f>'Unit 1'!C37</f>
        <v>0</v>
      </c>
      <c r="F37" s="6">
        <f>'Unit 1'!D37</f>
        <v>0</v>
      </c>
      <c r="G37" s="6">
        <f>'Unit 1'!E37</f>
        <v>0</v>
      </c>
      <c r="H37" s="6">
        <f>'Unit 1'!F37</f>
        <v>0</v>
      </c>
      <c r="I37" s="7">
        <f t="shared" si="33"/>
        <v>0</v>
      </c>
      <c r="J37" s="6">
        <f>'Unit 2'!B37</f>
        <v>0</v>
      </c>
      <c r="K37" s="6">
        <f>'Unit 2'!C37</f>
        <v>0</v>
      </c>
      <c r="L37" s="6">
        <f>'Unit 2'!D37</f>
        <v>0</v>
      </c>
      <c r="M37" s="6">
        <f>'Unit 2'!E37</f>
        <v>0</v>
      </c>
      <c r="N37" s="9">
        <f t="shared" si="34"/>
        <v>0</v>
      </c>
      <c r="O37" s="6">
        <f>'Unit 3'!B37</f>
        <v>0</v>
      </c>
      <c r="P37" s="6">
        <f>'Unit 3'!C37</f>
        <v>0</v>
      </c>
      <c r="Q37" s="6">
        <f>'Unit 3'!D37</f>
        <v>0</v>
      </c>
      <c r="R37" s="6">
        <f>'Unit 3'!E37</f>
        <v>0</v>
      </c>
      <c r="S37" s="8">
        <f t="shared" si="35"/>
        <v>0</v>
      </c>
      <c r="T37" s="6">
        <f>'Unit 4'!B37</f>
        <v>0</v>
      </c>
      <c r="U37" s="6">
        <f>'Unit 4'!C37</f>
        <v>0</v>
      </c>
      <c r="V37" s="6">
        <f>'Unit 4'!D37</f>
        <v>0</v>
      </c>
      <c r="W37" s="6">
        <f>'Unit 4'!E37</f>
        <v>0</v>
      </c>
      <c r="X37" s="9">
        <f t="shared" si="36"/>
        <v>0</v>
      </c>
      <c r="Y37" s="6">
        <f t="shared" si="37"/>
        <v>0</v>
      </c>
      <c r="Z37" s="6">
        <f t="shared" si="38"/>
        <v>0</v>
      </c>
      <c r="AA37" s="6">
        <f t="shared" si="39"/>
        <v>0</v>
      </c>
      <c r="AB37" s="6">
        <f t="shared" si="40"/>
        <v>0</v>
      </c>
      <c r="AC37" s="6">
        <f t="shared" si="41"/>
        <v>0</v>
      </c>
      <c r="AD37" s="6">
        <f>'Half yearly'!B37</f>
        <v>0</v>
      </c>
      <c r="AE37" s="6">
        <f>'Half yearly'!C37</f>
        <v>0</v>
      </c>
      <c r="AF37" s="6">
        <f>'Half yearly'!D37</f>
        <v>0</v>
      </c>
      <c r="AG37" s="6">
        <f>'Half yearly'!E37</f>
        <v>0</v>
      </c>
      <c r="AH37" s="6">
        <f t="shared" si="42"/>
        <v>0</v>
      </c>
      <c r="AI37" s="6">
        <f>Annual!B37</f>
        <v>0</v>
      </c>
      <c r="AJ37" s="6">
        <f>Annual!C37</f>
        <v>0</v>
      </c>
      <c r="AK37" s="6">
        <f>Annual!D37</f>
        <v>0</v>
      </c>
      <c r="AL37" s="6">
        <f>Annual!E37</f>
        <v>0</v>
      </c>
      <c r="AM37" s="10">
        <f t="shared" si="43"/>
        <v>0</v>
      </c>
      <c r="AN37" s="6">
        <f t="shared" si="44"/>
        <v>0</v>
      </c>
      <c r="AO37" s="6">
        <f t="shared" si="45"/>
        <v>0</v>
      </c>
      <c r="AP37" s="6">
        <f t="shared" si="46"/>
        <v>0</v>
      </c>
      <c r="AQ37" s="6">
        <f t="shared" si="47"/>
        <v>0</v>
      </c>
      <c r="AR37" s="6">
        <f t="shared" si="48"/>
        <v>0</v>
      </c>
      <c r="AS37" s="6">
        <f t="shared" si="49"/>
        <v>0</v>
      </c>
      <c r="AT37" s="6">
        <f t="shared" si="50"/>
        <v>0</v>
      </c>
      <c r="AU37" s="6">
        <f t="shared" si="51"/>
        <v>0</v>
      </c>
      <c r="AV37" s="6">
        <f t="shared" si="52"/>
        <v>0</v>
      </c>
      <c r="AW37" s="6">
        <f t="shared" si="53"/>
        <v>0</v>
      </c>
      <c r="AX37" s="6">
        <f t="shared" si="54"/>
        <v>0</v>
      </c>
      <c r="AY37" s="6">
        <f t="shared" si="55"/>
        <v>0</v>
      </c>
      <c r="AZ37" s="6">
        <f t="shared" si="56"/>
        <v>0</v>
      </c>
      <c r="BA37" s="6">
        <f t="shared" si="57"/>
        <v>0</v>
      </c>
      <c r="BB37" s="6">
        <f t="shared" si="58"/>
        <v>0</v>
      </c>
      <c r="BC37" s="6">
        <f t="shared" si="59"/>
        <v>0</v>
      </c>
      <c r="BD37" s="6">
        <f t="shared" si="60"/>
        <v>0</v>
      </c>
      <c r="BE37" s="6">
        <f t="shared" si="61"/>
        <v>0</v>
      </c>
      <c r="BF37" s="6">
        <f t="shared" si="62"/>
        <v>0</v>
      </c>
      <c r="BG37" s="11">
        <f t="shared" si="63"/>
        <v>0</v>
      </c>
      <c r="BH37" s="11">
        <f t="shared" si="64"/>
        <v>0</v>
      </c>
      <c r="BI37" s="6" t="str">
        <f t="shared" si="32"/>
        <v>FAIL</v>
      </c>
      <c r="BJ37" s="37"/>
    </row>
    <row r="38" spans="1:62" x14ac:dyDescent="0.3">
      <c r="A38" s="6"/>
      <c r="B38" s="6">
        <f>'Unit 1'!A38</f>
        <v>0</v>
      </c>
      <c r="C38" s="6">
        <f>'Unit 1'!B38</f>
        <v>0</v>
      </c>
      <c r="D38" s="6" t="str">
        <f>'Unit 1'!$G$2</f>
        <v>i</v>
      </c>
      <c r="E38" s="6">
        <f>'Unit 1'!C38</f>
        <v>0</v>
      </c>
      <c r="F38" s="6">
        <f>'Unit 1'!D38</f>
        <v>0</v>
      </c>
      <c r="G38" s="6">
        <f>'Unit 1'!E38</f>
        <v>0</v>
      </c>
      <c r="H38" s="6">
        <f>'Unit 1'!F38</f>
        <v>0</v>
      </c>
      <c r="I38" s="7">
        <f t="shared" si="33"/>
        <v>0</v>
      </c>
      <c r="J38" s="6">
        <f>'Unit 2'!B38</f>
        <v>0</v>
      </c>
      <c r="K38" s="6">
        <f>'Unit 2'!C38</f>
        <v>0</v>
      </c>
      <c r="L38" s="6">
        <f>'Unit 2'!D38</f>
        <v>0</v>
      </c>
      <c r="M38" s="6">
        <f>'Unit 2'!E38</f>
        <v>0</v>
      </c>
      <c r="N38" s="9">
        <f t="shared" si="34"/>
        <v>0</v>
      </c>
      <c r="O38" s="6">
        <f>'Unit 3'!B38</f>
        <v>0</v>
      </c>
      <c r="P38" s="6">
        <f>'Unit 3'!C38</f>
        <v>0</v>
      </c>
      <c r="Q38" s="6">
        <f>'Unit 3'!D38</f>
        <v>0</v>
      </c>
      <c r="R38" s="6">
        <f>'Unit 3'!E38</f>
        <v>0</v>
      </c>
      <c r="S38" s="8">
        <f t="shared" si="35"/>
        <v>0</v>
      </c>
      <c r="T38" s="6">
        <f>'Unit 4'!B38</f>
        <v>0</v>
      </c>
      <c r="U38" s="6">
        <f>'Unit 4'!C38</f>
        <v>0</v>
      </c>
      <c r="V38" s="6">
        <f>'Unit 4'!D38</f>
        <v>0</v>
      </c>
      <c r="W38" s="6">
        <f>'Unit 4'!E38</f>
        <v>0</v>
      </c>
      <c r="X38" s="9">
        <f t="shared" si="36"/>
        <v>0</v>
      </c>
      <c r="Y38" s="6">
        <f t="shared" si="37"/>
        <v>0</v>
      </c>
      <c r="Z38" s="6">
        <f t="shared" si="38"/>
        <v>0</v>
      </c>
      <c r="AA38" s="6">
        <f t="shared" si="39"/>
        <v>0</v>
      </c>
      <c r="AB38" s="6">
        <f t="shared" si="40"/>
        <v>0</v>
      </c>
      <c r="AC38" s="6">
        <f t="shared" si="41"/>
        <v>0</v>
      </c>
      <c r="AD38" s="6">
        <f>'Half yearly'!B38</f>
        <v>0</v>
      </c>
      <c r="AE38" s="6">
        <f>'Half yearly'!C38</f>
        <v>0</v>
      </c>
      <c r="AF38" s="6">
        <f>'Half yearly'!D38</f>
        <v>0</v>
      </c>
      <c r="AG38" s="6">
        <f>'Half yearly'!E38</f>
        <v>0</v>
      </c>
      <c r="AH38" s="6">
        <f t="shared" si="42"/>
        <v>0</v>
      </c>
      <c r="AI38" s="6">
        <f>Annual!B38</f>
        <v>0</v>
      </c>
      <c r="AJ38" s="6">
        <f>Annual!C38</f>
        <v>0</v>
      </c>
      <c r="AK38" s="6">
        <f>Annual!D38</f>
        <v>0</v>
      </c>
      <c r="AL38" s="6">
        <f>Annual!E38</f>
        <v>0</v>
      </c>
      <c r="AM38" s="10">
        <f t="shared" si="43"/>
        <v>0</v>
      </c>
      <c r="AN38" s="6">
        <f t="shared" si="44"/>
        <v>0</v>
      </c>
      <c r="AO38" s="6">
        <f t="shared" si="45"/>
        <v>0</v>
      </c>
      <c r="AP38" s="6">
        <f t="shared" si="46"/>
        <v>0</v>
      </c>
      <c r="AQ38" s="6">
        <f t="shared" si="47"/>
        <v>0</v>
      </c>
      <c r="AR38" s="6">
        <f t="shared" si="48"/>
        <v>0</v>
      </c>
      <c r="AS38" s="6">
        <f t="shared" si="49"/>
        <v>0</v>
      </c>
      <c r="AT38" s="6">
        <f t="shared" si="50"/>
        <v>0</v>
      </c>
      <c r="AU38" s="6">
        <f t="shared" si="51"/>
        <v>0</v>
      </c>
      <c r="AV38" s="6">
        <f t="shared" si="52"/>
        <v>0</v>
      </c>
      <c r="AW38" s="6">
        <f t="shared" si="53"/>
        <v>0</v>
      </c>
      <c r="AX38" s="6">
        <f t="shared" si="54"/>
        <v>0</v>
      </c>
      <c r="AY38" s="6">
        <f t="shared" si="55"/>
        <v>0</v>
      </c>
      <c r="AZ38" s="6">
        <f t="shared" si="56"/>
        <v>0</v>
      </c>
      <c r="BA38" s="6">
        <f t="shared" si="57"/>
        <v>0</v>
      </c>
      <c r="BB38" s="6">
        <f t="shared" si="58"/>
        <v>0</v>
      </c>
      <c r="BC38" s="6">
        <f t="shared" si="59"/>
        <v>0</v>
      </c>
      <c r="BD38" s="6">
        <f t="shared" si="60"/>
        <v>0</v>
      </c>
      <c r="BE38" s="6">
        <f t="shared" si="61"/>
        <v>0</v>
      </c>
      <c r="BF38" s="6">
        <f t="shared" si="62"/>
        <v>0</v>
      </c>
      <c r="BG38" s="11">
        <f t="shared" si="63"/>
        <v>0</v>
      </c>
      <c r="BH38" s="11">
        <f t="shared" si="64"/>
        <v>0</v>
      </c>
      <c r="BI38" s="6" t="str">
        <f t="shared" si="32"/>
        <v>FAIL</v>
      </c>
      <c r="BJ38" s="37"/>
    </row>
    <row r="39" spans="1:62" x14ac:dyDescent="0.3">
      <c r="A39" s="6"/>
      <c r="B39" s="6">
        <f>'Unit 1'!A39</f>
        <v>0</v>
      </c>
      <c r="C39" s="6">
        <f>'Unit 1'!B39</f>
        <v>0</v>
      </c>
      <c r="D39" s="6" t="str">
        <f>'Unit 1'!$G$2</f>
        <v>i</v>
      </c>
      <c r="E39" s="6">
        <f>'Unit 1'!C39</f>
        <v>0</v>
      </c>
      <c r="F39" s="6">
        <f>'Unit 1'!D39</f>
        <v>0</v>
      </c>
      <c r="G39" s="6">
        <f>'Unit 1'!E39</f>
        <v>0</v>
      </c>
      <c r="H39" s="6">
        <f>'Unit 1'!F39</f>
        <v>0</v>
      </c>
      <c r="I39" s="7">
        <f t="shared" si="33"/>
        <v>0</v>
      </c>
      <c r="J39" s="6">
        <f>'Unit 2'!B39</f>
        <v>0</v>
      </c>
      <c r="K39" s="6">
        <f>'Unit 2'!C39</f>
        <v>0</v>
      </c>
      <c r="L39" s="6">
        <f>'Unit 2'!D39</f>
        <v>0</v>
      </c>
      <c r="M39" s="6">
        <f>'Unit 2'!E39</f>
        <v>0</v>
      </c>
      <c r="N39" s="9">
        <f t="shared" si="34"/>
        <v>0</v>
      </c>
      <c r="O39" s="6">
        <f>'Unit 3'!B39</f>
        <v>0</v>
      </c>
      <c r="P39" s="6">
        <f>'Unit 3'!C39</f>
        <v>0</v>
      </c>
      <c r="Q39" s="6">
        <f>'Unit 3'!D39</f>
        <v>0</v>
      </c>
      <c r="R39" s="6">
        <f>'Unit 3'!E39</f>
        <v>0</v>
      </c>
      <c r="S39" s="8">
        <f t="shared" si="35"/>
        <v>0</v>
      </c>
      <c r="T39" s="6">
        <f>'Unit 4'!B39</f>
        <v>0</v>
      </c>
      <c r="U39" s="6">
        <f>'Unit 4'!C39</f>
        <v>0</v>
      </c>
      <c r="V39" s="6">
        <f>'Unit 4'!D39</f>
        <v>0</v>
      </c>
      <c r="W39" s="6">
        <f>'Unit 4'!E39</f>
        <v>0</v>
      </c>
      <c r="X39" s="9">
        <f t="shared" si="36"/>
        <v>0</v>
      </c>
      <c r="Y39" s="6">
        <f t="shared" si="37"/>
        <v>0</v>
      </c>
      <c r="Z39" s="6">
        <f t="shared" si="38"/>
        <v>0</v>
      </c>
      <c r="AA39" s="6">
        <f t="shared" si="39"/>
        <v>0</v>
      </c>
      <c r="AB39" s="6">
        <f t="shared" si="40"/>
        <v>0</v>
      </c>
      <c r="AC39" s="6">
        <f t="shared" si="41"/>
        <v>0</v>
      </c>
      <c r="AD39" s="6">
        <f>'Half yearly'!B39</f>
        <v>0</v>
      </c>
      <c r="AE39" s="6">
        <f>'Half yearly'!C39</f>
        <v>0</v>
      </c>
      <c r="AF39" s="6">
        <f>'Half yearly'!D39</f>
        <v>0</v>
      </c>
      <c r="AG39" s="6">
        <f>'Half yearly'!E39</f>
        <v>0</v>
      </c>
      <c r="AH39" s="6">
        <f t="shared" si="42"/>
        <v>0</v>
      </c>
      <c r="AI39" s="6">
        <f>Annual!B39</f>
        <v>0</v>
      </c>
      <c r="AJ39" s="6">
        <f>Annual!C39</f>
        <v>0</v>
      </c>
      <c r="AK39" s="6">
        <f>Annual!D39</f>
        <v>0</v>
      </c>
      <c r="AL39" s="6">
        <f>Annual!E39</f>
        <v>0</v>
      </c>
      <c r="AM39" s="10">
        <f t="shared" si="43"/>
        <v>0</v>
      </c>
      <c r="AN39" s="6">
        <f t="shared" si="44"/>
        <v>0</v>
      </c>
      <c r="AO39" s="6">
        <f t="shared" si="45"/>
        <v>0</v>
      </c>
      <c r="AP39" s="6">
        <f t="shared" si="46"/>
        <v>0</v>
      </c>
      <c r="AQ39" s="6">
        <f t="shared" si="47"/>
        <v>0</v>
      </c>
      <c r="AR39" s="6">
        <f t="shared" si="48"/>
        <v>0</v>
      </c>
      <c r="AS39" s="6">
        <f t="shared" si="49"/>
        <v>0</v>
      </c>
      <c r="AT39" s="6">
        <f t="shared" si="50"/>
        <v>0</v>
      </c>
      <c r="AU39" s="6">
        <f t="shared" si="51"/>
        <v>0</v>
      </c>
      <c r="AV39" s="6">
        <f t="shared" si="52"/>
        <v>0</v>
      </c>
      <c r="AW39" s="6">
        <f t="shared" si="53"/>
        <v>0</v>
      </c>
      <c r="AX39" s="6">
        <f t="shared" si="54"/>
        <v>0</v>
      </c>
      <c r="AY39" s="6">
        <f t="shared" si="55"/>
        <v>0</v>
      </c>
      <c r="AZ39" s="6">
        <f t="shared" si="56"/>
        <v>0</v>
      </c>
      <c r="BA39" s="6">
        <f t="shared" si="57"/>
        <v>0</v>
      </c>
      <c r="BB39" s="6">
        <f t="shared" si="58"/>
        <v>0</v>
      </c>
      <c r="BC39" s="6">
        <f t="shared" si="59"/>
        <v>0</v>
      </c>
      <c r="BD39" s="6">
        <f t="shared" si="60"/>
        <v>0</v>
      </c>
      <c r="BE39" s="6">
        <f t="shared" si="61"/>
        <v>0</v>
      </c>
      <c r="BF39" s="6">
        <f t="shared" si="62"/>
        <v>0</v>
      </c>
      <c r="BG39" s="11">
        <f t="shared" si="63"/>
        <v>0</v>
      </c>
      <c r="BH39" s="11">
        <f t="shared" si="64"/>
        <v>0</v>
      </c>
      <c r="BI39" s="6" t="str">
        <f t="shared" si="32"/>
        <v>FAIL</v>
      </c>
      <c r="BJ39" s="37"/>
    </row>
    <row r="40" spans="1:62" x14ac:dyDescent="0.3">
      <c r="A40" s="6"/>
      <c r="B40" s="6">
        <f>'Unit 1'!A40</f>
        <v>0</v>
      </c>
      <c r="C40" s="6">
        <f>'Unit 1'!B40</f>
        <v>0</v>
      </c>
      <c r="D40" s="6" t="str">
        <f>'Unit 1'!$G$2</f>
        <v>i</v>
      </c>
      <c r="E40" s="6">
        <f>'Unit 1'!C40</f>
        <v>0</v>
      </c>
      <c r="F40" s="6">
        <f>'Unit 1'!D40</f>
        <v>0</v>
      </c>
      <c r="G40" s="6">
        <f>'Unit 1'!E40</f>
        <v>0</v>
      </c>
      <c r="H40" s="6">
        <f>'Unit 1'!F40</f>
        <v>0</v>
      </c>
      <c r="I40" s="7">
        <f t="shared" si="33"/>
        <v>0</v>
      </c>
      <c r="J40" s="6">
        <f>'Unit 2'!B40</f>
        <v>0</v>
      </c>
      <c r="K40" s="6">
        <f>'Unit 2'!C40</f>
        <v>0</v>
      </c>
      <c r="L40" s="6">
        <f>'Unit 2'!D40</f>
        <v>0</v>
      </c>
      <c r="M40" s="6">
        <f>'Unit 2'!E40</f>
        <v>0</v>
      </c>
      <c r="N40" s="9">
        <f t="shared" si="34"/>
        <v>0</v>
      </c>
      <c r="O40" s="6">
        <f>'Unit 3'!B40</f>
        <v>0</v>
      </c>
      <c r="P40" s="6">
        <f>'Unit 3'!C40</f>
        <v>0</v>
      </c>
      <c r="Q40" s="6">
        <f>'Unit 3'!D40</f>
        <v>0</v>
      </c>
      <c r="R40" s="6">
        <f>'Unit 3'!E40</f>
        <v>0</v>
      </c>
      <c r="S40" s="8">
        <f t="shared" si="35"/>
        <v>0</v>
      </c>
      <c r="T40" s="6">
        <f>'Unit 4'!B40</f>
        <v>0</v>
      </c>
      <c r="U40" s="6">
        <f>'Unit 4'!C40</f>
        <v>0</v>
      </c>
      <c r="V40" s="6">
        <f>'Unit 4'!D40</f>
        <v>0</v>
      </c>
      <c r="W40" s="6">
        <f>'Unit 4'!E40</f>
        <v>0</v>
      </c>
      <c r="X40" s="9">
        <f t="shared" si="36"/>
        <v>0</v>
      </c>
      <c r="Y40" s="6">
        <f t="shared" si="37"/>
        <v>0</v>
      </c>
      <c r="Z40" s="6">
        <f t="shared" si="38"/>
        <v>0</v>
      </c>
      <c r="AA40" s="6">
        <f t="shared" si="39"/>
        <v>0</v>
      </c>
      <c r="AB40" s="6">
        <f t="shared" si="40"/>
        <v>0</v>
      </c>
      <c r="AC40" s="6">
        <f t="shared" si="41"/>
        <v>0</v>
      </c>
      <c r="AD40" s="6">
        <f>'Half yearly'!B40</f>
        <v>0</v>
      </c>
      <c r="AE40" s="6">
        <f>'Half yearly'!C40</f>
        <v>0</v>
      </c>
      <c r="AF40" s="6">
        <f>'Half yearly'!D40</f>
        <v>0</v>
      </c>
      <c r="AG40" s="6">
        <f>'Half yearly'!E40</f>
        <v>0</v>
      </c>
      <c r="AH40" s="6">
        <f t="shared" si="42"/>
        <v>0</v>
      </c>
      <c r="AI40" s="6">
        <f>Annual!B40</f>
        <v>0</v>
      </c>
      <c r="AJ40" s="6">
        <f>Annual!C40</f>
        <v>0</v>
      </c>
      <c r="AK40" s="6">
        <f>Annual!D40</f>
        <v>0</v>
      </c>
      <c r="AL40" s="6">
        <f>Annual!E40</f>
        <v>0</v>
      </c>
      <c r="AM40" s="10">
        <f t="shared" si="43"/>
        <v>0</v>
      </c>
      <c r="AN40" s="6">
        <f t="shared" si="44"/>
        <v>0</v>
      </c>
      <c r="AO40" s="6">
        <f t="shared" si="45"/>
        <v>0</v>
      </c>
      <c r="AP40" s="6">
        <f t="shared" si="46"/>
        <v>0</v>
      </c>
      <c r="AQ40" s="6">
        <f t="shared" si="47"/>
        <v>0</v>
      </c>
      <c r="AR40" s="6">
        <f t="shared" si="48"/>
        <v>0</v>
      </c>
      <c r="AS40" s="6">
        <f t="shared" si="49"/>
        <v>0</v>
      </c>
      <c r="AT40" s="6">
        <f t="shared" si="50"/>
        <v>0</v>
      </c>
      <c r="AU40" s="6">
        <f t="shared" si="51"/>
        <v>0</v>
      </c>
      <c r="AV40" s="6">
        <f t="shared" si="52"/>
        <v>0</v>
      </c>
      <c r="AW40" s="6">
        <f t="shared" si="53"/>
        <v>0</v>
      </c>
      <c r="AX40" s="6">
        <f t="shared" si="54"/>
        <v>0</v>
      </c>
      <c r="AY40" s="6">
        <f t="shared" si="55"/>
        <v>0</v>
      </c>
      <c r="AZ40" s="6">
        <f t="shared" si="56"/>
        <v>0</v>
      </c>
      <c r="BA40" s="6">
        <f t="shared" si="57"/>
        <v>0</v>
      </c>
      <c r="BB40" s="6">
        <f t="shared" si="58"/>
        <v>0</v>
      </c>
      <c r="BC40" s="6">
        <f t="shared" si="59"/>
        <v>0</v>
      </c>
      <c r="BD40" s="6">
        <f t="shared" si="60"/>
        <v>0</v>
      </c>
      <c r="BE40" s="6">
        <f t="shared" si="61"/>
        <v>0</v>
      </c>
      <c r="BF40" s="6">
        <f t="shared" si="62"/>
        <v>0</v>
      </c>
      <c r="BG40" s="11">
        <f t="shared" si="63"/>
        <v>0</v>
      </c>
      <c r="BH40" s="11">
        <f t="shared" si="64"/>
        <v>0</v>
      </c>
      <c r="BI40" s="6" t="str">
        <f t="shared" si="32"/>
        <v>FAIL</v>
      </c>
      <c r="BJ40" s="37"/>
    </row>
    <row r="41" spans="1:62" x14ac:dyDescent="0.3">
      <c r="A41" s="6"/>
      <c r="B41" s="6">
        <f>'Unit 1'!A41</f>
        <v>0</v>
      </c>
      <c r="C41" s="6">
        <f>'Unit 1'!B41</f>
        <v>0</v>
      </c>
      <c r="D41" s="6" t="str">
        <f>'Unit 1'!$G$2</f>
        <v>i</v>
      </c>
      <c r="E41" s="6">
        <f>'Unit 1'!C41</f>
        <v>0</v>
      </c>
      <c r="F41" s="6">
        <f>'Unit 1'!D41</f>
        <v>0</v>
      </c>
      <c r="G41" s="6">
        <f>'Unit 1'!E41</f>
        <v>0</v>
      </c>
      <c r="H41" s="6">
        <f>'Unit 1'!F41</f>
        <v>0</v>
      </c>
      <c r="I41" s="7">
        <f t="shared" si="33"/>
        <v>0</v>
      </c>
      <c r="J41" s="6">
        <f>'Unit 2'!B41</f>
        <v>0</v>
      </c>
      <c r="K41" s="6">
        <f>'Unit 2'!C41</f>
        <v>0</v>
      </c>
      <c r="L41" s="6">
        <f>'Unit 2'!D41</f>
        <v>0</v>
      </c>
      <c r="M41" s="6">
        <f>'Unit 2'!E41</f>
        <v>0</v>
      </c>
      <c r="N41" s="9">
        <f t="shared" si="34"/>
        <v>0</v>
      </c>
      <c r="O41" s="6">
        <f>'Unit 3'!B41</f>
        <v>0</v>
      </c>
      <c r="P41" s="6">
        <f>'Unit 3'!C41</f>
        <v>0</v>
      </c>
      <c r="Q41" s="6">
        <f>'Unit 3'!D41</f>
        <v>0</v>
      </c>
      <c r="R41" s="6">
        <f>'Unit 3'!E41</f>
        <v>0</v>
      </c>
      <c r="S41" s="8">
        <f t="shared" si="35"/>
        <v>0</v>
      </c>
      <c r="T41" s="6">
        <f>'Unit 4'!B41</f>
        <v>0</v>
      </c>
      <c r="U41" s="6">
        <f>'Unit 4'!C41</f>
        <v>0</v>
      </c>
      <c r="V41" s="6">
        <f>'Unit 4'!D41</f>
        <v>0</v>
      </c>
      <c r="W41" s="6">
        <f>'Unit 4'!E41</f>
        <v>0</v>
      </c>
      <c r="X41" s="9">
        <f t="shared" si="36"/>
        <v>0</v>
      </c>
      <c r="Y41" s="6">
        <f t="shared" si="37"/>
        <v>0</v>
      </c>
      <c r="Z41" s="6">
        <f t="shared" si="38"/>
        <v>0</v>
      </c>
      <c r="AA41" s="6">
        <f t="shared" si="39"/>
        <v>0</v>
      </c>
      <c r="AB41" s="6">
        <f t="shared" si="40"/>
        <v>0</v>
      </c>
      <c r="AC41" s="6">
        <f t="shared" si="41"/>
        <v>0</v>
      </c>
      <c r="AD41" s="6">
        <f>'Half yearly'!B41</f>
        <v>0</v>
      </c>
      <c r="AE41" s="6">
        <f>'Half yearly'!C41</f>
        <v>0</v>
      </c>
      <c r="AF41" s="6">
        <f>'Half yearly'!D41</f>
        <v>0</v>
      </c>
      <c r="AG41" s="6">
        <f>'Half yearly'!E41</f>
        <v>0</v>
      </c>
      <c r="AH41" s="6">
        <f t="shared" si="42"/>
        <v>0</v>
      </c>
      <c r="AI41" s="6">
        <f>Annual!B41</f>
        <v>0</v>
      </c>
      <c r="AJ41" s="6">
        <f>Annual!C41</f>
        <v>0</v>
      </c>
      <c r="AK41" s="6">
        <f>Annual!D41</f>
        <v>0</v>
      </c>
      <c r="AL41" s="6">
        <f>Annual!E41</f>
        <v>0</v>
      </c>
      <c r="AM41" s="10">
        <f t="shared" si="43"/>
        <v>0</v>
      </c>
      <c r="AN41" s="6">
        <f t="shared" si="44"/>
        <v>0</v>
      </c>
      <c r="AO41" s="6">
        <f t="shared" si="45"/>
        <v>0</v>
      </c>
      <c r="AP41" s="6">
        <f t="shared" si="46"/>
        <v>0</v>
      </c>
      <c r="AQ41" s="6">
        <f t="shared" si="47"/>
        <v>0</v>
      </c>
      <c r="AR41" s="6">
        <f t="shared" si="48"/>
        <v>0</v>
      </c>
      <c r="AS41" s="6">
        <f t="shared" si="49"/>
        <v>0</v>
      </c>
      <c r="AT41" s="6">
        <f t="shared" si="50"/>
        <v>0</v>
      </c>
      <c r="AU41" s="6">
        <f t="shared" si="51"/>
        <v>0</v>
      </c>
      <c r="AV41" s="6">
        <f t="shared" si="52"/>
        <v>0</v>
      </c>
      <c r="AW41" s="6">
        <f t="shared" si="53"/>
        <v>0</v>
      </c>
      <c r="AX41" s="6">
        <f t="shared" si="54"/>
        <v>0</v>
      </c>
      <c r="AY41" s="6">
        <f t="shared" si="55"/>
        <v>0</v>
      </c>
      <c r="AZ41" s="6">
        <f t="shared" si="56"/>
        <v>0</v>
      </c>
      <c r="BA41" s="6">
        <f t="shared" si="57"/>
        <v>0</v>
      </c>
      <c r="BB41" s="6">
        <f t="shared" si="58"/>
        <v>0</v>
      </c>
      <c r="BC41" s="6">
        <f t="shared" si="59"/>
        <v>0</v>
      </c>
      <c r="BD41" s="6">
        <f t="shared" si="60"/>
        <v>0</v>
      </c>
      <c r="BE41" s="6">
        <f t="shared" si="61"/>
        <v>0</v>
      </c>
      <c r="BF41" s="6">
        <f t="shared" si="62"/>
        <v>0</v>
      </c>
      <c r="BG41" s="11">
        <f t="shared" si="63"/>
        <v>0</v>
      </c>
      <c r="BH41" s="11">
        <f t="shared" si="64"/>
        <v>0</v>
      </c>
      <c r="BI41" s="6" t="str">
        <f t="shared" si="32"/>
        <v>FAIL</v>
      </c>
      <c r="BJ41" s="37"/>
    </row>
    <row r="42" spans="1:62" x14ac:dyDescent="0.3">
      <c r="A42" s="6"/>
      <c r="B42" s="6">
        <f>'Unit 1'!A42</f>
        <v>0</v>
      </c>
      <c r="C42" s="6">
        <f>'Unit 1'!B42</f>
        <v>0</v>
      </c>
      <c r="D42" s="6" t="str">
        <f>'Unit 1'!$G$2</f>
        <v>i</v>
      </c>
      <c r="E42" s="6">
        <f>'Unit 1'!C42</f>
        <v>0</v>
      </c>
      <c r="F42" s="6">
        <f>'Unit 1'!D42</f>
        <v>0</v>
      </c>
      <c r="G42" s="6">
        <f>'Unit 1'!E42</f>
        <v>0</v>
      </c>
      <c r="H42" s="6">
        <f>'Unit 1'!F42</f>
        <v>0</v>
      </c>
      <c r="I42" s="7">
        <f t="shared" si="33"/>
        <v>0</v>
      </c>
      <c r="J42" s="6">
        <f>'Unit 2'!B42</f>
        <v>0</v>
      </c>
      <c r="K42" s="6">
        <f>'Unit 2'!C42</f>
        <v>0</v>
      </c>
      <c r="L42" s="6">
        <f>'Unit 2'!D42</f>
        <v>0</v>
      </c>
      <c r="M42" s="6">
        <f>'Unit 2'!E42</f>
        <v>0</v>
      </c>
      <c r="N42" s="9">
        <f t="shared" si="34"/>
        <v>0</v>
      </c>
      <c r="O42" s="6">
        <f>'Unit 3'!B42</f>
        <v>0</v>
      </c>
      <c r="P42" s="6">
        <f>'Unit 3'!C42</f>
        <v>0</v>
      </c>
      <c r="Q42" s="6">
        <f>'Unit 3'!D42</f>
        <v>0</v>
      </c>
      <c r="R42" s="6">
        <f>'Unit 3'!E42</f>
        <v>0</v>
      </c>
      <c r="S42" s="8">
        <f t="shared" si="35"/>
        <v>0</v>
      </c>
      <c r="T42" s="6">
        <f>'Unit 4'!B42</f>
        <v>0</v>
      </c>
      <c r="U42" s="6">
        <f>'Unit 4'!C42</f>
        <v>0</v>
      </c>
      <c r="V42" s="6">
        <f>'Unit 4'!D42</f>
        <v>0</v>
      </c>
      <c r="W42" s="6">
        <f>'Unit 4'!E42</f>
        <v>0</v>
      </c>
      <c r="X42" s="9">
        <f t="shared" si="36"/>
        <v>0</v>
      </c>
      <c r="Y42" s="6">
        <f t="shared" si="37"/>
        <v>0</v>
      </c>
      <c r="Z42" s="6">
        <f t="shared" si="38"/>
        <v>0</v>
      </c>
      <c r="AA42" s="6">
        <f t="shared" si="39"/>
        <v>0</v>
      </c>
      <c r="AB42" s="6">
        <f t="shared" si="40"/>
        <v>0</v>
      </c>
      <c r="AC42" s="6">
        <f t="shared" si="41"/>
        <v>0</v>
      </c>
      <c r="AD42" s="6">
        <f>'Half yearly'!B42</f>
        <v>0</v>
      </c>
      <c r="AE42" s="6">
        <f>'Half yearly'!C42</f>
        <v>0</v>
      </c>
      <c r="AF42" s="6">
        <f>'Half yearly'!D42</f>
        <v>0</v>
      </c>
      <c r="AG42" s="6">
        <f>'Half yearly'!E42</f>
        <v>0</v>
      </c>
      <c r="AH42" s="6">
        <f t="shared" si="42"/>
        <v>0</v>
      </c>
      <c r="AI42" s="6">
        <f>Annual!B42</f>
        <v>0</v>
      </c>
      <c r="AJ42" s="6">
        <f>Annual!C42</f>
        <v>0</v>
      </c>
      <c r="AK42" s="6">
        <f>Annual!D42</f>
        <v>0</v>
      </c>
      <c r="AL42" s="6">
        <f>Annual!E42</f>
        <v>0</v>
      </c>
      <c r="AM42" s="10">
        <f t="shared" si="43"/>
        <v>0</v>
      </c>
      <c r="AN42" s="6">
        <f t="shared" si="44"/>
        <v>0</v>
      </c>
      <c r="AO42" s="6">
        <f t="shared" si="45"/>
        <v>0</v>
      </c>
      <c r="AP42" s="6">
        <f t="shared" si="46"/>
        <v>0</v>
      </c>
      <c r="AQ42" s="6">
        <f t="shared" si="47"/>
        <v>0</v>
      </c>
      <c r="AR42" s="6">
        <f t="shared" si="48"/>
        <v>0</v>
      </c>
      <c r="AS42" s="6">
        <f t="shared" si="49"/>
        <v>0</v>
      </c>
      <c r="AT42" s="6">
        <f t="shared" si="50"/>
        <v>0</v>
      </c>
      <c r="AU42" s="6">
        <f t="shared" si="51"/>
        <v>0</v>
      </c>
      <c r="AV42" s="6">
        <f t="shared" si="52"/>
        <v>0</v>
      </c>
      <c r="AW42" s="6">
        <f t="shared" si="53"/>
        <v>0</v>
      </c>
      <c r="AX42" s="6">
        <f t="shared" si="54"/>
        <v>0</v>
      </c>
      <c r="AY42" s="6">
        <f t="shared" si="55"/>
        <v>0</v>
      </c>
      <c r="AZ42" s="6">
        <f t="shared" si="56"/>
        <v>0</v>
      </c>
      <c r="BA42" s="6">
        <f t="shared" si="57"/>
        <v>0</v>
      </c>
      <c r="BB42" s="6">
        <f t="shared" si="58"/>
        <v>0</v>
      </c>
      <c r="BC42" s="6">
        <f t="shared" si="59"/>
        <v>0</v>
      </c>
      <c r="BD42" s="6">
        <f t="shared" si="60"/>
        <v>0</v>
      </c>
      <c r="BE42" s="6">
        <f t="shared" si="61"/>
        <v>0</v>
      </c>
      <c r="BF42" s="6">
        <f t="shared" si="62"/>
        <v>0</v>
      </c>
      <c r="BG42" s="11">
        <f t="shared" si="63"/>
        <v>0</v>
      </c>
      <c r="BH42" s="11">
        <f t="shared" si="64"/>
        <v>0</v>
      </c>
      <c r="BI42" s="6" t="str">
        <f t="shared" si="32"/>
        <v>FAIL</v>
      </c>
      <c r="BJ42" s="37"/>
    </row>
    <row r="43" spans="1:62" x14ac:dyDescent="0.3">
      <c r="A43" s="6"/>
      <c r="B43" s="6">
        <f>'Unit 1'!A43</f>
        <v>0</v>
      </c>
      <c r="C43" s="6">
        <f>'Unit 1'!B43</f>
        <v>0</v>
      </c>
      <c r="D43" s="6" t="str">
        <f>'Unit 1'!$G$2</f>
        <v>i</v>
      </c>
      <c r="E43" s="6">
        <f>'Unit 1'!C43</f>
        <v>0</v>
      </c>
      <c r="F43" s="6">
        <f>'Unit 1'!D43</f>
        <v>0</v>
      </c>
      <c r="G43" s="6">
        <f>'Unit 1'!E43</f>
        <v>0</v>
      </c>
      <c r="H43" s="6">
        <f>'Unit 1'!F43</f>
        <v>0</v>
      </c>
      <c r="I43" s="7">
        <f t="shared" si="33"/>
        <v>0</v>
      </c>
      <c r="J43" s="6">
        <f>'Unit 2'!B43</f>
        <v>0</v>
      </c>
      <c r="K43" s="6">
        <f>'Unit 2'!C43</f>
        <v>0</v>
      </c>
      <c r="L43" s="6">
        <f>'Unit 2'!D43</f>
        <v>0</v>
      </c>
      <c r="M43" s="6">
        <f>'Unit 2'!E43</f>
        <v>0</v>
      </c>
      <c r="N43" s="9">
        <f t="shared" si="34"/>
        <v>0</v>
      </c>
      <c r="O43" s="6">
        <f>'Unit 3'!B43</f>
        <v>0</v>
      </c>
      <c r="P43" s="6">
        <f>'Unit 3'!C43</f>
        <v>0</v>
      </c>
      <c r="Q43" s="6">
        <f>'Unit 3'!D43</f>
        <v>0</v>
      </c>
      <c r="R43" s="6">
        <f>'Unit 3'!E43</f>
        <v>0</v>
      </c>
      <c r="S43" s="8">
        <f t="shared" si="35"/>
        <v>0</v>
      </c>
      <c r="T43" s="6">
        <f>'Unit 4'!B43</f>
        <v>0</v>
      </c>
      <c r="U43" s="6">
        <f>'Unit 4'!C43</f>
        <v>0</v>
      </c>
      <c r="V43" s="6">
        <f>'Unit 4'!D43</f>
        <v>0</v>
      </c>
      <c r="W43" s="6">
        <f>'Unit 4'!E43</f>
        <v>0</v>
      </c>
      <c r="X43" s="9">
        <f t="shared" si="36"/>
        <v>0</v>
      </c>
      <c r="Y43" s="6">
        <f t="shared" si="37"/>
        <v>0</v>
      </c>
      <c r="Z43" s="6">
        <f t="shared" si="38"/>
        <v>0</v>
      </c>
      <c r="AA43" s="6">
        <f t="shared" si="39"/>
        <v>0</v>
      </c>
      <c r="AB43" s="6">
        <f t="shared" si="40"/>
        <v>0</v>
      </c>
      <c r="AC43" s="6">
        <f t="shared" si="41"/>
        <v>0</v>
      </c>
      <c r="AD43" s="6">
        <f>'Half yearly'!B43</f>
        <v>0</v>
      </c>
      <c r="AE43" s="6">
        <f>'Half yearly'!C43</f>
        <v>0</v>
      </c>
      <c r="AF43" s="6">
        <f>'Half yearly'!D43</f>
        <v>0</v>
      </c>
      <c r="AG43" s="6">
        <f>'Half yearly'!E43</f>
        <v>0</v>
      </c>
      <c r="AH43" s="6">
        <f t="shared" si="42"/>
        <v>0</v>
      </c>
      <c r="AI43" s="6">
        <f>Annual!B43</f>
        <v>0</v>
      </c>
      <c r="AJ43" s="6">
        <f>Annual!C43</f>
        <v>0</v>
      </c>
      <c r="AK43" s="6">
        <f>Annual!D43</f>
        <v>0</v>
      </c>
      <c r="AL43" s="6">
        <f>Annual!E43</f>
        <v>0</v>
      </c>
      <c r="AM43" s="10">
        <f t="shared" si="43"/>
        <v>0</v>
      </c>
      <c r="AN43" s="6">
        <f t="shared" si="44"/>
        <v>0</v>
      </c>
      <c r="AO43" s="6">
        <f t="shared" si="45"/>
        <v>0</v>
      </c>
      <c r="AP43" s="6">
        <f t="shared" si="46"/>
        <v>0</v>
      </c>
      <c r="AQ43" s="6">
        <f t="shared" si="47"/>
        <v>0</v>
      </c>
      <c r="AR43" s="6">
        <f t="shared" si="48"/>
        <v>0</v>
      </c>
      <c r="AS43" s="6">
        <f t="shared" si="49"/>
        <v>0</v>
      </c>
      <c r="AT43" s="6">
        <f t="shared" si="50"/>
        <v>0</v>
      </c>
      <c r="AU43" s="6">
        <f t="shared" si="51"/>
        <v>0</v>
      </c>
      <c r="AV43" s="6">
        <f t="shared" si="52"/>
        <v>0</v>
      </c>
      <c r="AW43" s="6">
        <f t="shared" si="53"/>
        <v>0</v>
      </c>
      <c r="AX43" s="6">
        <f t="shared" si="54"/>
        <v>0</v>
      </c>
      <c r="AY43" s="6">
        <f t="shared" si="55"/>
        <v>0</v>
      </c>
      <c r="AZ43" s="6">
        <f t="shared" si="56"/>
        <v>0</v>
      </c>
      <c r="BA43" s="6">
        <f t="shared" si="57"/>
        <v>0</v>
      </c>
      <c r="BB43" s="6">
        <f t="shared" si="58"/>
        <v>0</v>
      </c>
      <c r="BC43" s="6">
        <f t="shared" si="59"/>
        <v>0</v>
      </c>
      <c r="BD43" s="6">
        <f t="shared" si="60"/>
        <v>0</v>
      </c>
      <c r="BE43" s="6">
        <f t="shared" si="61"/>
        <v>0</v>
      </c>
      <c r="BF43" s="6">
        <f t="shared" si="62"/>
        <v>0</v>
      </c>
      <c r="BG43" s="11">
        <f t="shared" si="63"/>
        <v>0</v>
      </c>
      <c r="BH43" s="11">
        <f t="shared" si="64"/>
        <v>0</v>
      </c>
      <c r="BI43" s="6" t="str">
        <f t="shared" si="32"/>
        <v>FAIL</v>
      </c>
      <c r="BJ43" s="37"/>
    </row>
    <row r="44" spans="1:62" x14ac:dyDescent="0.3">
      <c r="A44" s="6"/>
      <c r="B44" s="6">
        <f>'Unit 1'!A44</f>
        <v>0</v>
      </c>
      <c r="C44" s="6">
        <f>'Unit 1'!B44</f>
        <v>0</v>
      </c>
      <c r="D44" s="6" t="str">
        <f>'Unit 1'!$G$2</f>
        <v>i</v>
      </c>
      <c r="E44" s="6">
        <f>'Unit 1'!C44</f>
        <v>0</v>
      </c>
      <c r="F44" s="6">
        <f>'Unit 1'!D44</f>
        <v>0</v>
      </c>
      <c r="G44" s="6">
        <f>'Unit 1'!E44</f>
        <v>0</v>
      </c>
      <c r="H44" s="6">
        <f>'Unit 1'!F44</f>
        <v>0</v>
      </c>
      <c r="I44" s="7">
        <f t="shared" si="33"/>
        <v>0</v>
      </c>
      <c r="J44" s="6">
        <f>'Unit 2'!B44</f>
        <v>0</v>
      </c>
      <c r="K44" s="6">
        <f>'Unit 2'!C44</f>
        <v>0</v>
      </c>
      <c r="L44" s="6">
        <f>'Unit 2'!D44</f>
        <v>0</v>
      </c>
      <c r="M44" s="6">
        <f>'Unit 2'!E44</f>
        <v>0</v>
      </c>
      <c r="N44" s="9">
        <f t="shared" si="34"/>
        <v>0</v>
      </c>
      <c r="O44" s="6">
        <f>'Unit 3'!B44</f>
        <v>0</v>
      </c>
      <c r="P44" s="6">
        <f>'Unit 3'!C44</f>
        <v>0</v>
      </c>
      <c r="Q44" s="6">
        <f>'Unit 3'!D44</f>
        <v>0</v>
      </c>
      <c r="R44" s="6">
        <f>'Unit 3'!E44</f>
        <v>0</v>
      </c>
      <c r="S44" s="8">
        <f t="shared" si="35"/>
        <v>0</v>
      </c>
      <c r="T44" s="6">
        <f>'Unit 4'!B44</f>
        <v>0</v>
      </c>
      <c r="U44" s="6">
        <f>'Unit 4'!C44</f>
        <v>0</v>
      </c>
      <c r="V44" s="6">
        <f>'Unit 4'!D44</f>
        <v>0</v>
      </c>
      <c r="W44" s="6">
        <f>'Unit 4'!E44</f>
        <v>0</v>
      </c>
      <c r="X44" s="9">
        <f t="shared" si="36"/>
        <v>0</v>
      </c>
      <c r="Y44" s="6">
        <f t="shared" si="37"/>
        <v>0</v>
      </c>
      <c r="Z44" s="6">
        <f t="shared" si="38"/>
        <v>0</v>
      </c>
      <c r="AA44" s="6">
        <f t="shared" si="39"/>
        <v>0</v>
      </c>
      <c r="AB44" s="6">
        <f t="shared" si="40"/>
        <v>0</v>
      </c>
      <c r="AC44" s="6">
        <f t="shared" si="41"/>
        <v>0</v>
      </c>
      <c r="AD44" s="6">
        <f>'Half yearly'!B44</f>
        <v>0</v>
      </c>
      <c r="AE44" s="6">
        <f>'Half yearly'!C44</f>
        <v>0</v>
      </c>
      <c r="AF44" s="6">
        <f>'Half yearly'!D44</f>
        <v>0</v>
      </c>
      <c r="AG44" s="6">
        <f>'Half yearly'!E44</f>
        <v>0</v>
      </c>
      <c r="AH44" s="6">
        <f t="shared" si="42"/>
        <v>0</v>
      </c>
      <c r="AI44" s="6">
        <f>Annual!B44</f>
        <v>0</v>
      </c>
      <c r="AJ44" s="6">
        <f>Annual!C44</f>
        <v>0</v>
      </c>
      <c r="AK44" s="6">
        <f>Annual!D44</f>
        <v>0</v>
      </c>
      <c r="AL44" s="6">
        <f>Annual!E44</f>
        <v>0</v>
      </c>
      <c r="AM44" s="10">
        <f t="shared" si="43"/>
        <v>0</v>
      </c>
      <c r="AN44" s="6">
        <f t="shared" si="44"/>
        <v>0</v>
      </c>
      <c r="AO44" s="6">
        <f t="shared" si="45"/>
        <v>0</v>
      </c>
      <c r="AP44" s="6">
        <f t="shared" si="46"/>
        <v>0</v>
      </c>
      <c r="AQ44" s="6">
        <f t="shared" si="47"/>
        <v>0</v>
      </c>
      <c r="AR44" s="6">
        <f t="shared" si="48"/>
        <v>0</v>
      </c>
      <c r="AS44" s="6">
        <f t="shared" si="49"/>
        <v>0</v>
      </c>
      <c r="AT44" s="6">
        <f t="shared" si="50"/>
        <v>0</v>
      </c>
      <c r="AU44" s="6">
        <f t="shared" si="51"/>
        <v>0</v>
      </c>
      <c r="AV44" s="6">
        <f t="shared" si="52"/>
        <v>0</v>
      </c>
      <c r="AW44" s="6">
        <f t="shared" si="53"/>
        <v>0</v>
      </c>
      <c r="AX44" s="6">
        <f t="shared" si="54"/>
        <v>0</v>
      </c>
      <c r="AY44" s="6">
        <f t="shared" si="55"/>
        <v>0</v>
      </c>
      <c r="AZ44" s="6">
        <f t="shared" si="56"/>
        <v>0</v>
      </c>
      <c r="BA44" s="6">
        <f t="shared" si="57"/>
        <v>0</v>
      </c>
      <c r="BB44" s="6">
        <f t="shared" si="58"/>
        <v>0</v>
      </c>
      <c r="BC44" s="6">
        <f t="shared" si="59"/>
        <v>0</v>
      </c>
      <c r="BD44" s="6">
        <f t="shared" si="60"/>
        <v>0</v>
      </c>
      <c r="BE44" s="6">
        <f t="shared" si="61"/>
        <v>0</v>
      </c>
      <c r="BF44" s="6">
        <f t="shared" si="62"/>
        <v>0</v>
      </c>
      <c r="BG44" s="11">
        <f t="shared" si="63"/>
        <v>0</v>
      </c>
      <c r="BH44" s="11">
        <f t="shared" si="64"/>
        <v>0</v>
      </c>
      <c r="BI44" s="6" t="str">
        <f t="shared" si="32"/>
        <v>FAIL</v>
      </c>
      <c r="BJ44" s="37"/>
    </row>
    <row r="45" spans="1:62" x14ac:dyDescent="0.3">
      <c r="A45" s="6"/>
      <c r="B45" s="6">
        <f>'Unit 1'!A45</f>
        <v>0</v>
      </c>
      <c r="C45" s="6">
        <f>'Unit 1'!B45</f>
        <v>0</v>
      </c>
      <c r="D45" s="6" t="str">
        <f>'Unit 1'!$G$2</f>
        <v>i</v>
      </c>
      <c r="E45" s="6">
        <f>'Unit 1'!C45</f>
        <v>0</v>
      </c>
      <c r="F45" s="6">
        <f>'Unit 1'!D45</f>
        <v>0</v>
      </c>
      <c r="G45" s="6">
        <f>'Unit 1'!E45</f>
        <v>0</v>
      </c>
      <c r="H45" s="6">
        <f>'Unit 1'!F45</f>
        <v>0</v>
      </c>
      <c r="I45" s="7">
        <f t="shared" si="33"/>
        <v>0</v>
      </c>
      <c r="J45" s="6">
        <f>'Unit 2'!B45</f>
        <v>0</v>
      </c>
      <c r="K45" s="6">
        <f>'Unit 2'!C45</f>
        <v>0</v>
      </c>
      <c r="L45" s="6">
        <f>'Unit 2'!D45</f>
        <v>0</v>
      </c>
      <c r="M45" s="6">
        <f>'Unit 2'!E45</f>
        <v>0</v>
      </c>
      <c r="N45" s="9">
        <f t="shared" si="34"/>
        <v>0</v>
      </c>
      <c r="O45" s="6">
        <f>'Unit 3'!B45</f>
        <v>0</v>
      </c>
      <c r="P45" s="6">
        <f>'Unit 3'!C45</f>
        <v>0</v>
      </c>
      <c r="Q45" s="6">
        <f>'Unit 3'!D45</f>
        <v>0</v>
      </c>
      <c r="R45" s="6">
        <f>'Unit 3'!E45</f>
        <v>0</v>
      </c>
      <c r="S45" s="8">
        <f t="shared" si="35"/>
        <v>0</v>
      </c>
      <c r="T45" s="6">
        <f>'Unit 4'!B45</f>
        <v>0</v>
      </c>
      <c r="U45" s="6">
        <f>'Unit 4'!C45</f>
        <v>0</v>
      </c>
      <c r="V45" s="6">
        <f>'Unit 4'!D45</f>
        <v>0</v>
      </c>
      <c r="W45" s="6">
        <f>'Unit 4'!E45</f>
        <v>0</v>
      </c>
      <c r="X45" s="9">
        <f t="shared" si="36"/>
        <v>0</v>
      </c>
      <c r="Y45" s="6">
        <f t="shared" si="37"/>
        <v>0</v>
      </c>
      <c r="Z45" s="6">
        <f t="shared" si="38"/>
        <v>0</v>
      </c>
      <c r="AA45" s="6">
        <f t="shared" si="39"/>
        <v>0</v>
      </c>
      <c r="AB45" s="6">
        <f t="shared" si="40"/>
        <v>0</v>
      </c>
      <c r="AC45" s="6">
        <f t="shared" si="41"/>
        <v>0</v>
      </c>
      <c r="AD45" s="6">
        <f>'Half yearly'!B45</f>
        <v>0</v>
      </c>
      <c r="AE45" s="6">
        <f>'Half yearly'!C45</f>
        <v>0</v>
      </c>
      <c r="AF45" s="6">
        <f>'Half yearly'!D45</f>
        <v>0</v>
      </c>
      <c r="AG45" s="6">
        <f>'Half yearly'!E45</f>
        <v>0</v>
      </c>
      <c r="AH45" s="6">
        <f t="shared" si="42"/>
        <v>0</v>
      </c>
      <c r="AI45" s="6">
        <f>Annual!B45</f>
        <v>0</v>
      </c>
      <c r="AJ45" s="6">
        <f>Annual!C45</f>
        <v>0</v>
      </c>
      <c r="AK45" s="6">
        <f>Annual!D45</f>
        <v>0</v>
      </c>
      <c r="AL45" s="6">
        <f>Annual!E45</f>
        <v>0</v>
      </c>
      <c r="AM45" s="10">
        <f t="shared" si="43"/>
        <v>0</v>
      </c>
      <c r="AN45" s="6">
        <f t="shared" si="44"/>
        <v>0</v>
      </c>
      <c r="AO45" s="6">
        <f t="shared" si="45"/>
        <v>0</v>
      </c>
      <c r="AP45" s="6">
        <f t="shared" si="46"/>
        <v>0</v>
      </c>
      <c r="AQ45" s="6">
        <f t="shared" si="47"/>
        <v>0</v>
      </c>
      <c r="AR45" s="6">
        <f t="shared" si="48"/>
        <v>0</v>
      </c>
      <c r="AS45" s="6">
        <f t="shared" si="49"/>
        <v>0</v>
      </c>
      <c r="AT45" s="6">
        <f t="shared" si="50"/>
        <v>0</v>
      </c>
      <c r="AU45" s="6">
        <f t="shared" si="51"/>
        <v>0</v>
      </c>
      <c r="AV45" s="6">
        <f t="shared" si="52"/>
        <v>0</v>
      </c>
      <c r="AW45" s="6">
        <f t="shared" si="53"/>
        <v>0</v>
      </c>
      <c r="AX45" s="6">
        <f t="shared" si="54"/>
        <v>0</v>
      </c>
      <c r="AY45" s="6">
        <f t="shared" si="55"/>
        <v>0</v>
      </c>
      <c r="AZ45" s="6">
        <f t="shared" si="56"/>
        <v>0</v>
      </c>
      <c r="BA45" s="6">
        <f t="shared" si="57"/>
        <v>0</v>
      </c>
      <c r="BB45" s="6">
        <f t="shared" si="58"/>
        <v>0</v>
      </c>
      <c r="BC45" s="6">
        <f t="shared" si="59"/>
        <v>0</v>
      </c>
      <c r="BD45" s="6">
        <f t="shared" si="60"/>
        <v>0</v>
      </c>
      <c r="BE45" s="6">
        <f t="shared" si="61"/>
        <v>0</v>
      </c>
      <c r="BF45" s="6">
        <f t="shared" si="62"/>
        <v>0</v>
      </c>
      <c r="BG45" s="11">
        <f t="shared" si="63"/>
        <v>0</v>
      </c>
      <c r="BH45" s="11">
        <f t="shared" si="64"/>
        <v>0</v>
      </c>
      <c r="BI45" s="6" t="str">
        <f t="shared" si="32"/>
        <v>FAIL</v>
      </c>
      <c r="BJ45" s="37"/>
    </row>
    <row r="46" spans="1:62" x14ac:dyDescent="0.3">
      <c r="A46" s="6"/>
      <c r="B46" s="6">
        <f>'Unit 1'!A46</f>
        <v>0</v>
      </c>
      <c r="C46" s="6">
        <f>'Unit 1'!B46</f>
        <v>0</v>
      </c>
      <c r="D46" s="6" t="str">
        <f>'Unit 1'!$G$2</f>
        <v>i</v>
      </c>
      <c r="E46" s="6">
        <f>'Unit 1'!C46</f>
        <v>0</v>
      </c>
      <c r="F46" s="6">
        <f>'Unit 1'!D46</f>
        <v>0</v>
      </c>
      <c r="G46" s="6">
        <f>'Unit 1'!E46</f>
        <v>0</v>
      </c>
      <c r="H46" s="6">
        <f>'Unit 1'!F46</f>
        <v>0</v>
      </c>
      <c r="I46" s="7">
        <f t="shared" si="33"/>
        <v>0</v>
      </c>
      <c r="J46" s="6">
        <f>'Unit 2'!B46</f>
        <v>0</v>
      </c>
      <c r="K46" s="6">
        <f>'Unit 2'!C46</f>
        <v>0</v>
      </c>
      <c r="L46" s="6">
        <f>'Unit 2'!D46</f>
        <v>0</v>
      </c>
      <c r="M46" s="6">
        <f>'Unit 2'!E46</f>
        <v>0</v>
      </c>
      <c r="N46" s="9">
        <f t="shared" si="34"/>
        <v>0</v>
      </c>
      <c r="O46" s="6">
        <f>'Unit 3'!B46</f>
        <v>0</v>
      </c>
      <c r="P46" s="6">
        <f>'Unit 3'!C46</f>
        <v>0</v>
      </c>
      <c r="Q46" s="6">
        <f>'Unit 3'!D46</f>
        <v>0</v>
      </c>
      <c r="R46" s="6">
        <f>'Unit 3'!E46</f>
        <v>0</v>
      </c>
      <c r="S46" s="8">
        <f t="shared" si="35"/>
        <v>0</v>
      </c>
      <c r="T46" s="6">
        <f>'Unit 4'!B46</f>
        <v>0</v>
      </c>
      <c r="U46" s="6">
        <f>'Unit 4'!C46</f>
        <v>0</v>
      </c>
      <c r="V46" s="6">
        <f>'Unit 4'!D46</f>
        <v>0</v>
      </c>
      <c r="W46" s="6">
        <f>'Unit 4'!E46</f>
        <v>0</v>
      </c>
      <c r="X46" s="9">
        <f t="shared" si="36"/>
        <v>0</v>
      </c>
      <c r="Y46" s="6">
        <f t="shared" si="37"/>
        <v>0</v>
      </c>
      <c r="Z46" s="6">
        <f t="shared" si="38"/>
        <v>0</v>
      </c>
      <c r="AA46" s="6">
        <f t="shared" si="39"/>
        <v>0</v>
      </c>
      <c r="AB46" s="6">
        <f t="shared" si="40"/>
        <v>0</v>
      </c>
      <c r="AC46" s="6">
        <f t="shared" si="41"/>
        <v>0</v>
      </c>
      <c r="AD46" s="6">
        <f>'Half yearly'!B46</f>
        <v>0</v>
      </c>
      <c r="AE46" s="6">
        <f>'Half yearly'!C46</f>
        <v>0</v>
      </c>
      <c r="AF46" s="6">
        <f>'Half yearly'!D46</f>
        <v>0</v>
      </c>
      <c r="AG46" s="6">
        <f>'Half yearly'!E46</f>
        <v>0</v>
      </c>
      <c r="AH46" s="6">
        <f t="shared" si="42"/>
        <v>0</v>
      </c>
      <c r="AI46" s="6">
        <f>Annual!B46</f>
        <v>0</v>
      </c>
      <c r="AJ46" s="6">
        <f>Annual!C46</f>
        <v>0</v>
      </c>
      <c r="AK46" s="6">
        <f>Annual!D46</f>
        <v>0</v>
      </c>
      <c r="AL46" s="6">
        <f>Annual!E46</f>
        <v>0</v>
      </c>
      <c r="AM46" s="10">
        <f t="shared" si="43"/>
        <v>0</v>
      </c>
      <c r="AN46" s="6">
        <f t="shared" si="44"/>
        <v>0</v>
      </c>
      <c r="AO46" s="6">
        <f t="shared" si="45"/>
        <v>0</v>
      </c>
      <c r="AP46" s="6">
        <f t="shared" si="46"/>
        <v>0</v>
      </c>
      <c r="AQ46" s="6">
        <f t="shared" si="47"/>
        <v>0</v>
      </c>
      <c r="AR46" s="6">
        <f t="shared" si="48"/>
        <v>0</v>
      </c>
      <c r="AS46" s="6">
        <f t="shared" si="49"/>
        <v>0</v>
      </c>
      <c r="AT46" s="6">
        <f t="shared" si="50"/>
        <v>0</v>
      </c>
      <c r="AU46" s="6">
        <f t="shared" si="51"/>
        <v>0</v>
      </c>
      <c r="AV46" s="6">
        <f t="shared" si="52"/>
        <v>0</v>
      </c>
      <c r="AW46" s="6">
        <f t="shared" si="53"/>
        <v>0</v>
      </c>
      <c r="AX46" s="6">
        <f t="shared" si="54"/>
        <v>0</v>
      </c>
      <c r="AY46" s="6">
        <f t="shared" si="55"/>
        <v>0</v>
      </c>
      <c r="AZ46" s="6">
        <f t="shared" si="56"/>
        <v>0</v>
      </c>
      <c r="BA46" s="6">
        <f t="shared" si="57"/>
        <v>0</v>
      </c>
      <c r="BB46" s="6">
        <f t="shared" si="58"/>
        <v>0</v>
      </c>
      <c r="BC46" s="6">
        <f t="shared" si="59"/>
        <v>0</v>
      </c>
      <c r="BD46" s="6">
        <f t="shared" si="60"/>
        <v>0</v>
      </c>
      <c r="BE46" s="6">
        <f t="shared" si="61"/>
        <v>0</v>
      </c>
      <c r="BF46" s="6">
        <f t="shared" si="62"/>
        <v>0</v>
      </c>
      <c r="BG46" s="11">
        <f t="shared" si="63"/>
        <v>0</v>
      </c>
      <c r="BH46" s="11">
        <f t="shared" si="64"/>
        <v>0</v>
      </c>
      <c r="BI46" s="6" t="str">
        <f t="shared" si="32"/>
        <v>FAIL</v>
      </c>
      <c r="BJ46" s="37"/>
    </row>
    <row r="47" spans="1:62" x14ac:dyDescent="0.3">
      <c r="A47" s="6"/>
      <c r="B47" s="6">
        <f>'Unit 1'!A47</f>
        <v>0</v>
      </c>
      <c r="C47" s="6">
        <f>'Unit 1'!B47</f>
        <v>0</v>
      </c>
      <c r="D47" s="6" t="str">
        <f>'Unit 1'!$G$2</f>
        <v>i</v>
      </c>
      <c r="E47" s="6">
        <f>'Unit 1'!C47</f>
        <v>0</v>
      </c>
      <c r="F47" s="6">
        <f>'Unit 1'!D47</f>
        <v>0</v>
      </c>
      <c r="G47" s="6">
        <f>'Unit 1'!E47</f>
        <v>0</v>
      </c>
      <c r="H47" s="6">
        <f>'Unit 1'!F47</f>
        <v>0</v>
      </c>
      <c r="I47" s="7">
        <f t="shared" si="33"/>
        <v>0</v>
      </c>
      <c r="J47" s="6">
        <f>'Unit 2'!B47</f>
        <v>0</v>
      </c>
      <c r="K47" s="6">
        <f>'Unit 2'!C47</f>
        <v>0</v>
      </c>
      <c r="L47" s="6">
        <f>'Unit 2'!D47</f>
        <v>0</v>
      </c>
      <c r="M47" s="6">
        <f>'Unit 2'!E47</f>
        <v>0</v>
      </c>
      <c r="N47" s="9">
        <f t="shared" si="34"/>
        <v>0</v>
      </c>
      <c r="O47" s="6">
        <f>'Unit 3'!B47</f>
        <v>0</v>
      </c>
      <c r="P47" s="6">
        <f>'Unit 3'!C47</f>
        <v>0</v>
      </c>
      <c r="Q47" s="6">
        <f>'Unit 3'!D47</f>
        <v>0</v>
      </c>
      <c r="R47" s="6">
        <f>'Unit 3'!E47</f>
        <v>0</v>
      </c>
      <c r="S47" s="8">
        <f t="shared" si="35"/>
        <v>0</v>
      </c>
      <c r="T47" s="6">
        <f>'Unit 4'!B47</f>
        <v>0</v>
      </c>
      <c r="U47" s="6">
        <f>'Unit 4'!C47</f>
        <v>0</v>
      </c>
      <c r="V47" s="6">
        <f>'Unit 4'!D47</f>
        <v>0</v>
      </c>
      <c r="W47" s="6">
        <f>'Unit 4'!E47</f>
        <v>0</v>
      </c>
      <c r="X47" s="9">
        <f t="shared" si="36"/>
        <v>0</v>
      </c>
      <c r="Y47" s="6">
        <f t="shared" si="37"/>
        <v>0</v>
      </c>
      <c r="Z47" s="6">
        <f t="shared" si="38"/>
        <v>0</v>
      </c>
      <c r="AA47" s="6">
        <f t="shared" si="39"/>
        <v>0</v>
      </c>
      <c r="AB47" s="6">
        <f t="shared" si="40"/>
        <v>0</v>
      </c>
      <c r="AC47" s="6">
        <f t="shared" si="41"/>
        <v>0</v>
      </c>
      <c r="AD47" s="6">
        <f>'Half yearly'!B47</f>
        <v>0</v>
      </c>
      <c r="AE47" s="6">
        <f>'Half yearly'!C47</f>
        <v>0</v>
      </c>
      <c r="AF47" s="6">
        <f>'Half yearly'!D47</f>
        <v>0</v>
      </c>
      <c r="AG47" s="6">
        <f>'Half yearly'!E47</f>
        <v>0</v>
      </c>
      <c r="AH47" s="6">
        <f t="shared" si="42"/>
        <v>0</v>
      </c>
      <c r="AI47" s="6">
        <f>Annual!B47</f>
        <v>0</v>
      </c>
      <c r="AJ47" s="6">
        <f>Annual!C47</f>
        <v>0</v>
      </c>
      <c r="AK47" s="6">
        <f>Annual!D47</f>
        <v>0</v>
      </c>
      <c r="AL47" s="6">
        <f>Annual!E47</f>
        <v>0</v>
      </c>
      <c r="AM47" s="10">
        <f t="shared" si="43"/>
        <v>0</v>
      </c>
      <c r="AN47" s="6">
        <f t="shared" si="44"/>
        <v>0</v>
      </c>
      <c r="AO47" s="6">
        <f t="shared" si="45"/>
        <v>0</v>
      </c>
      <c r="AP47" s="6">
        <f t="shared" si="46"/>
        <v>0</v>
      </c>
      <c r="AQ47" s="6">
        <f t="shared" si="47"/>
        <v>0</v>
      </c>
      <c r="AR47" s="6">
        <f t="shared" si="48"/>
        <v>0</v>
      </c>
      <c r="AS47" s="6">
        <f t="shared" si="49"/>
        <v>0</v>
      </c>
      <c r="AT47" s="6">
        <f t="shared" si="50"/>
        <v>0</v>
      </c>
      <c r="AU47" s="6">
        <f t="shared" si="51"/>
        <v>0</v>
      </c>
      <c r="AV47" s="6">
        <f t="shared" si="52"/>
        <v>0</v>
      </c>
      <c r="AW47" s="6">
        <f t="shared" si="53"/>
        <v>0</v>
      </c>
      <c r="AX47" s="6">
        <f t="shared" si="54"/>
        <v>0</v>
      </c>
      <c r="AY47" s="6">
        <f t="shared" si="55"/>
        <v>0</v>
      </c>
      <c r="AZ47" s="6">
        <f t="shared" si="56"/>
        <v>0</v>
      </c>
      <c r="BA47" s="6">
        <f t="shared" si="57"/>
        <v>0</v>
      </c>
      <c r="BB47" s="6">
        <f t="shared" si="58"/>
        <v>0</v>
      </c>
      <c r="BC47" s="6">
        <f t="shared" si="59"/>
        <v>0</v>
      </c>
      <c r="BD47" s="6">
        <f t="shared" si="60"/>
        <v>0</v>
      </c>
      <c r="BE47" s="6">
        <f t="shared" si="61"/>
        <v>0</v>
      </c>
      <c r="BF47" s="6">
        <f t="shared" si="62"/>
        <v>0</v>
      </c>
      <c r="BG47" s="11">
        <f t="shared" si="63"/>
        <v>0</v>
      </c>
      <c r="BH47" s="11">
        <f t="shared" si="64"/>
        <v>0</v>
      </c>
      <c r="BI47" s="6" t="str">
        <f t="shared" si="32"/>
        <v>FAIL</v>
      </c>
      <c r="BJ47" s="37"/>
    </row>
    <row r="48" spans="1:62" x14ac:dyDescent="0.3">
      <c r="A48" s="6"/>
      <c r="B48" s="6">
        <f>'Unit 1'!A48</f>
        <v>0</v>
      </c>
      <c r="C48" s="6">
        <f>'Unit 1'!B48</f>
        <v>0</v>
      </c>
      <c r="D48" s="6" t="str">
        <f>'Unit 1'!$G$2</f>
        <v>i</v>
      </c>
      <c r="E48" s="6">
        <f>'Unit 1'!C48</f>
        <v>0</v>
      </c>
      <c r="F48" s="6">
        <f>'Unit 1'!D48</f>
        <v>0</v>
      </c>
      <c r="G48" s="6">
        <f>'Unit 1'!E48</f>
        <v>0</v>
      </c>
      <c r="H48" s="6">
        <f>'Unit 1'!F48</f>
        <v>0</v>
      </c>
      <c r="I48" s="7">
        <f t="shared" si="33"/>
        <v>0</v>
      </c>
      <c r="J48" s="6">
        <f>'Unit 2'!B48</f>
        <v>0</v>
      </c>
      <c r="K48" s="6">
        <f>'Unit 2'!C48</f>
        <v>0</v>
      </c>
      <c r="L48" s="6">
        <f>'Unit 2'!D48</f>
        <v>0</v>
      </c>
      <c r="M48" s="6">
        <f>'Unit 2'!E48</f>
        <v>0</v>
      </c>
      <c r="N48" s="9">
        <f t="shared" si="34"/>
        <v>0</v>
      </c>
      <c r="O48" s="6">
        <f>'Unit 3'!B48</f>
        <v>0</v>
      </c>
      <c r="P48" s="6">
        <f>'Unit 3'!C48</f>
        <v>0</v>
      </c>
      <c r="Q48" s="6">
        <f>'Unit 3'!D48</f>
        <v>0</v>
      </c>
      <c r="R48" s="6">
        <f>'Unit 3'!E48</f>
        <v>0</v>
      </c>
      <c r="S48" s="8">
        <f t="shared" si="35"/>
        <v>0</v>
      </c>
      <c r="T48" s="6">
        <f>'Unit 4'!B48</f>
        <v>0</v>
      </c>
      <c r="U48" s="6">
        <f>'Unit 4'!C48</f>
        <v>0</v>
      </c>
      <c r="V48" s="6">
        <f>'Unit 4'!D48</f>
        <v>0</v>
      </c>
      <c r="W48" s="6">
        <f>'Unit 4'!E48</f>
        <v>0</v>
      </c>
      <c r="X48" s="9">
        <f t="shared" si="36"/>
        <v>0</v>
      </c>
      <c r="Y48" s="6">
        <f t="shared" si="37"/>
        <v>0</v>
      </c>
      <c r="Z48" s="6">
        <f t="shared" si="38"/>
        <v>0</v>
      </c>
      <c r="AA48" s="6">
        <f t="shared" si="39"/>
        <v>0</v>
      </c>
      <c r="AB48" s="6">
        <f t="shared" si="40"/>
        <v>0</v>
      </c>
      <c r="AC48" s="6">
        <f t="shared" si="41"/>
        <v>0</v>
      </c>
      <c r="AD48" s="6">
        <f>'Half yearly'!B48</f>
        <v>0</v>
      </c>
      <c r="AE48" s="6">
        <f>'Half yearly'!C48</f>
        <v>0</v>
      </c>
      <c r="AF48" s="6">
        <f>'Half yearly'!D48</f>
        <v>0</v>
      </c>
      <c r="AG48" s="6">
        <f>'Half yearly'!E48</f>
        <v>0</v>
      </c>
      <c r="AH48" s="6">
        <f t="shared" si="42"/>
        <v>0</v>
      </c>
      <c r="AI48" s="6">
        <f>Annual!B48</f>
        <v>0</v>
      </c>
      <c r="AJ48" s="6">
        <f>Annual!C48</f>
        <v>0</v>
      </c>
      <c r="AK48" s="6">
        <f>Annual!D48</f>
        <v>0</v>
      </c>
      <c r="AL48" s="6">
        <f>Annual!E48</f>
        <v>0</v>
      </c>
      <c r="AM48" s="10">
        <f t="shared" si="43"/>
        <v>0</v>
      </c>
      <c r="AN48" s="6">
        <f t="shared" si="44"/>
        <v>0</v>
      </c>
      <c r="AO48" s="6">
        <f t="shared" si="45"/>
        <v>0</v>
      </c>
      <c r="AP48" s="6">
        <f t="shared" si="46"/>
        <v>0</v>
      </c>
      <c r="AQ48" s="6">
        <f t="shared" si="47"/>
        <v>0</v>
      </c>
      <c r="AR48" s="6">
        <f t="shared" si="48"/>
        <v>0</v>
      </c>
      <c r="AS48" s="6">
        <f t="shared" si="49"/>
        <v>0</v>
      </c>
      <c r="AT48" s="6">
        <f t="shared" si="50"/>
        <v>0</v>
      </c>
      <c r="AU48" s="6">
        <f t="shared" si="51"/>
        <v>0</v>
      </c>
      <c r="AV48" s="6">
        <f t="shared" si="52"/>
        <v>0</v>
      </c>
      <c r="AW48" s="6">
        <f t="shared" si="53"/>
        <v>0</v>
      </c>
      <c r="AX48" s="6">
        <f t="shared" si="54"/>
        <v>0</v>
      </c>
      <c r="AY48" s="6">
        <f t="shared" si="55"/>
        <v>0</v>
      </c>
      <c r="AZ48" s="6">
        <f t="shared" si="56"/>
        <v>0</v>
      </c>
      <c r="BA48" s="6">
        <f t="shared" si="57"/>
        <v>0</v>
      </c>
      <c r="BB48" s="6">
        <f t="shared" si="58"/>
        <v>0</v>
      </c>
      <c r="BC48" s="6">
        <f t="shared" si="59"/>
        <v>0</v>
      </c>
      <c r="BD48" s="6">
        <f t="shared" si="60"/>
        <v>0</v>
      </c>
      <c r="BE48" s="6">
        <f t="shared" si="61"/>
        <v>0</v>
      </c>
      <c r="BF48" s="6">
        <f t="shared" si="62"/>
        <v>0</v>
      </c>
      <c r="BG48" s="11">
        <f t="shared" si="63"/>
        <v>0</v>
      </c>
      <c r="BH48" s="11">
        <f t="shared" si="64"/>
        <v>0</v>
      </c>
      <c r="BI48" s="6" t="str">
        <f t="shared" si="32"/>
        <v>FAIL</v>
      </c>
      <c r="BJ48" s="37"/>
    </row>
    <row r="49" spans="1:62" x14ac:dyDescent="0.3">
      <c r="A49" s="6"/>
      <c r="B49" s="6">
        <f>'Unit 1'!A49</f>
        <v>0</v>
      </c>
      <c r="C49" s="6">
        <f>'Unit 1'!B49</f>
        <v>0</v>
      </c>
      <c r="D49" s="6" t="str">
        <f>'Unit 1'!$G$2</f>
        <v>i</v>
      </c>
      <c r="E49" s="6">
        <f>'Unit 1'!C49</f>
        <v>0</v>
      </c>
      <c r="F49" s="6">
        <f>'Unit 1'!D49</f>
        <v>0</v>
      </c>
      <c r="G49" s="6">
        <f>'Unit 1'!E49</f>
        <v>0</v>
      </c>
      <c r="H49" s="6">
        <f>'Unit 1'!F49</f>
        <v>0</v>
      </c>
      <c r="I49" s="7">
        <f t="shared" si="33"/>
        <v>0</v>
      </c>
      <c r="J49" s="6">
        <f>'Unit 2'!B49</f>
        <v>0</v>
      </c>
      <c r="K49" s="6">
        <f>'Unit 2'!C49</f>
        <v>0</v>
      </c>
      <c r="L49" s="6">
        <f>'Unit 2'!D49</f>
        <v>0</v>
      </c>
      <c r="M49" s="6">
        <f>'Unit 2'!E49</f>
        <v>0</v>
      </c>
      <c r="N49" s="9">
        <f t="shared" si="34"/>
        <v>0</v>
      </c>
      <c r="O49" s="6">
        <f>'Unit 3'!B49</f>
        <v>0</v>
      </c>
      <c r="P49" s="6">
        <f>'Unit 3'!C49</f>
        <v>0</v>
      </c>
      <c r="Q49" s="6">
        <f>'Unit 3'!D49</f>
        <v>0</v>
      </c>
      <c r="R49" s="6">
        <f>'Unit 3'!E49</f>
        <v>0</v>
      </c>
      <c r="S49" s="8">
        <f t="shared" si="35"/>
        <v>0</v>
      </c>
      <c r="T49" s="6">
        <f>'Unit 4'!B49</f>
        <v>0</v>
      </c>
      <c r="U49" s="6">
        <f>'Unit 4'!C49</f>
        <v>0</v>
      </c>
      <c r="V49" s="6">
        <f>'Unit 4'!D49</f>
        <v>0</v>
      </c>
      <c r="W49" s="6">
        <f>'Unit 4'!E49</f>
        <v>0</v>
      </c>
      <c r="X49" s="9">
        <f t="shared" si="36"/>
        <v>0</v>
      </c>
      <c r="Y49" s="6">
        <f t="shared" si="37"/>
        <v>0</v>
      </c>
      <c r="Z49" s="6">
        <f t="shared" si="38"/>
        <v>0</v>
      </c>
      <c r="AA49" s="6">
        <f t="shared" si="39"/>
        <v>0</v>
      </c>
      <c r="AB49" s="6">
        <f t="shared" si="40"/>
        <v>0</v>
      </c>
      <c r="AC49" s="6">
        <f t="shared" si="41"/>
        <v>0</v>
      </c>
      <c r="AD49" s="6">
        <f>'Half yearly'!B49</f>
        <v>0</v>
      </c>
      <c r="AE49" s="6">
        <f>'Half yearly'!C49</f>
        <v>0</v>
      </c>
      <c r="AF49" s="6">
        <f>'Half yearly'!D49</f>
        <v>0</v>
      </c>
      <c r="AG49" s="6">
        <f>'Half yearly'!E49</f>
        <v>0</v>
      </c>
      <c r="AH49" s="6">
        <f t="shared" si="42"/>
        <v>0</v>
      </c>
      <c r="AI49" s="6">
        <f>Annual!B49</f>
        <v>0</v>
      </c>
      <c r="AJ49" s="6">
        <f>Annual!C49</f>
        <v>0</v>
      </c>
      <c r="AK49" s="6">
        <f>Annual!D49</f>
        <v>0</v>
      </c>
      <c r="AL49" s="6">
        <f>Annual!E49</f>
        <v>0</v>
      </c>
      <c r="AM49" s="10">
        <f t="shared" si="43"/>
        <v>0</v>
      </c>
      <c r="AN49" s="6">
        <f t="shared" si="44"/>
        <v>0</v>
      </c>
      <c r="AO49" s="6">
        <f t="shared" si="45"/>
        <v>0</v>
      </c>
      <c r="AP49" s="6">
        <f t="shared" si="46"/>
        <v>0</v>
      </c>
      <c r="AQ49" s="6">
        <f t="shared" si="47"/>
        <v>0</v>
      </c>
      <c r="AR49" s="6">
        <f t="shared" si="48"/>
        <v>0</v>
      </c>
      <c r="AS49" s="6">
        <f t="shared" si="49"/>
        <v>0</v>
      </c>
      <c r="AT49" s="6">
        <f t="shared" si="50"/>
        <v>0</v>
      </c>
      <c r="AU49" s="6">
        <f t="shared" si="51"/>
        <v>0</v>
      </c>
      <c r="AV49" s="6">
        <f t="shared" si="52"/>
        <v>0</v>
      </c>
      <c r="AW49" s="6">
        <f t="shared" si="53"/>
        <v>0</v>
      </c>
      <c r="AX49" s="6">
        <f t="shared" si="54"/>
        <v>0</v>
      </c>
      <c r="AY49" s="6">
        <f t="shared" si="55"/>
        <v>0</v>
      </c>
      <c r="AZ49" s="6">
        <f t="shared" si="56"/>
        <v>0</v>
      </c>
      <c r="BA49" s="6">
        <f t="shared" si="57"/>
        <v>0</v>
      </c>
      <c r="BB49" s="6">
        <f t="shared" si="58"/>
        <v>0</v>
      </c>
      <c r="BC49" s="6">
        <f t="shared" si="59"/>
        <v>0</v>
      </c>
      <c r="BD49" s="6">
        <f t="shared" si="60"/>
        <v>0</v>
      </c>
      <c r="BE49" s="6">
        <f t="shared" si="61"/>
        <v>0</v>
      </c>
      <c r="BF49" s="6">
        <f t="shared" si="62"/>
        <v>0</v>
      </c>
      <c r="BG49" s="11">
        <f t="shared" si="63"/>
        <v>0</v>
      </c>
      <c r="BH49" s="11">
        <f t="shared" si="64"/>
        <v>0</v>
      </c>
      <c r="BI49" s="6" t="str">
        <f t="shared" si="32"/>
        <v>FAIL</v>
      </c>
      <c r="BJ49" s="37"/>
    </row>
    <row r="50" spans="1:62" x14ac:dyDescent="0.3">
      <c r="A50" s="6"/>
      <c r="B50" s="6">
        <f>'Unit 1'!A50</f>
        <v>0</v>
      </c>
      <c r="C50" s="6">
        <f>'Unit 1'!B50</f>
        <v>0</v>
      </c>
      <c r="D50" s="6" t="str">
        <f>'Unit 1'!$G$2</f>
        <v>i</v>
      </c>
      <c r="E50" s="6">
        <f>'Unit 1'!C50</f>
        <v>0</v>
      </c>
      <c r="F50" s="6">
        <f>'Unit 1'!D50</f>
        <v>0</v>
      </c>
      <c r="G50" s="6">
        <f>'Unit 1'!E50</f>
        <v>0</v>
      </c>
      <c r="H50" s="6">
        <f>'Unit 1'!F50</f>
        <v>0</v>
      </c>
      <c r="I50" s="7">
        <f t="shared" si="33"/>
        <v>0</v>
      </c>
      <c r="J50" s="6">
        <f>'Unit 2'!B50</f>
        <v>0</v>
      </c>
      <c r="K50" s="6">
        <f>'Unit 2'!C50</f>
        <v>0</v>
      </c>
      <c r="L50" s="6">
        <f>'Unit 2'!D50</f>
        <v>0</v>
      </c>
      <c r="M50" s="6">
        <f>'Unit 2'!E50</f>
        <v>0</v>
      </c>
      <c r="N50" s="9">
        <f t="shared" si="34"/>
        <v>0</v>
      </c>
      <c r="O50" s="6">
        <f>'Unit 3'!B50</f>
        <v>0</v>
      </c>
      <c r="P50" s="6">
        <f>'Unit 3'!C50</f>
        <v>0</v>
      </c>
      <c r="Q50" s="6">
        <f>'Unit 3'!D50</f>
        <v>0</v>
      </c>
      <c r="R50" s="6">
        <f>'Unit 3'!E50</f>
        <v>0</v>
      </c>
      <c r="S50" s="8">
        <f t="shared" si="35"/>
        <v>0</v>
      </c>
      <c r="T50" s="6">
        <f>'Unit 4'!B50</f>
        <v>0</v>
      </c>
      <c r="U50" s="6">
        <f>'Unit 4'!C50</f>
        <v>0</v>
      </c>
      <c r="V50" s="6">
        <f>'Unit 4'!D50</f>
        <v>0</v>
      </c>
      <c r="W50" s="6">
        <f>'Unit 4'!E50</f>
        <v>0</v>
      </c>
      <c r="X50" s="9">
        <f t="shared" si="36"/>
        <v>0</v>
      </c>
      <c r="Y50" s="6">
        <f t="shared" si="37"/>
        <v>0</v>
      </c>
      <c r="Z50" s="6">
        <f t="shared" si="38"/>
        <v>0</v>
      </c>
      <c r="AA50" s="6">
        <f t="shared" si="39"/>
        <v>0</v>
      </c>
      <c r="AB50" s="6">
        <f t="shared" si="40"/>
        <v>0</v>
      </c>
      <c r="AC50" s="6">
        <f t="shared" si="41"/>
        <v>0</v>
      </c>
      <c r="AD50" s="6">
        <f>'Half yearly'!B50</f>
        <v>0</v>
      </c>
      <c r="AE50" s="6">
        <f>'Half yearly'!C50</f>
        <v>0</v>
      </c>
      <c r="AF50" s="6">
        <f>'Half yearly'!D50</f>
        <v>0</v>
      </c>
      <c r="AG50" s="6">
        <f>'Half yearly'!E50</f>
        <v>0</v>
      </c>
      <c r="AH50" s="6">
        <f t="shared" si="42"/>
        <v>0</v>
      </c>
      <c r="AI50" s="6">
        <f>Annual!B50</f>
        <v>0</v>
      </c>
      <c r="AJ50" s="6">
        <f>Annual!C50</f>
        <v>0</v>
      </c>
      <c r="AK50" s="6">
        <f>Annual!D50</f>
        <v>0</v>
      </c>
      <c r="AL50" s="6">
        <f>Annual!E50</f>
        <v>0</v>
      </c>
      <c r="AM50" s="10">
        <f t="shared" si="43"/>
        <v>0</v>
      </c>
      <c r="AN50" s="6">
        <f t="shared" si="44"/>
        <v>0</v>
      </c>
      <c r="AO50" s="6">
        <f t="shared" si="45"/>
        <v>0</v>
      </c>
      <c r="AP50" s="6">
        <f t="shared" si="46"/>
        <v>0</v>
      </c>
      <c r="AQ50" s="6">
        <f t="shared" si="47"/>
        <v>0</v>
      </c>
      <c r="AR50" s="6">
        <f t="shared" si="48"/>
        <v>0</v>
      </c>
      <c r="AS50" s="6">
        <f t="shared" si="49"/>
        <v>0</v>
      </c>
      <c r="AT50" s="6">
        <f t="shared" si="50"/>
        <v>0</v>
      </c>
      <c r="AU50" s="6">
        <f t="shared" si="51"/>
        <v>0</v>
      </c>
      <c r="AV50" s="6">
        <f t="shared" si="52"/>
        <v>0</v>
      </c>
      <c r="AW50" s="6">
        <f t="shared" si="53"/>
        <v>0</v>
      </c>
      <c r="AX50" s="6">
        <f t="shared" si="54"/>
        <v>0</v>
      </c>
      <c r="AY50" s="6">
        <f t="shared" si="55"/>
        <v>0</v>
      </c>
      <c r="AZ50" s="6">
        <f t="shared" si="56"/>
        <v>0</v>
      </c>
      <c r="BA50" s="6">
        <f t="shared" si="57"/>
        <v>0</v>
      </c>
      <c r="BB50" s="6">
        <f t="shared" si="58"/>
        <v>0</v>
      </c>
      <c r="BC50" s="6">
        <f t="shared" si="59"/>
        <v>0</v>
      </c>
      <c r="BD50" s="6">
        <f t="shared" si="60"/>
        <v>0</v>
      </c>
      <c r="BE50" s="6">
        <f t="shared" si="61"/>
        <v>0</v>
      </c>
      <c r="BF50" s="6">
        <f t="shared" si="62"/>
        <v>0</v>
      </c>
      <c r="BG50" s="11">
        <f t="shared" si="63"/>
        <v>0</v>
      </c>
      <c r="BH50" s="11">
        <f t="shared" si="64"/>
        <v>0</v>
      </c>
      <c r="BI50" s="6" t="str">
        <f t="shared" si="32"/>
        <v>FAIL</v>
      </c>
      <c r="BJ50" s="37"/>
    </row>
    <row r="51" spans="1:62" x14ac:dyDescent="0.3">
      <c r="A51" s="6"/>
      <c r="B51" s="6">
        <f>'Unit 1'!A51</f>
        <v>0</v>
      </c>
      <c r="C51" s="6">
        <f>'Unit 1'!B51</f>
        <v>0</v>
      </c>
      <c r="D51" s="6" t="str">
        <f>'Unit 1'!$G$2</f>
        <v>i</v>
      </c>
      <c r="E51" s="6">
        <f>'Unit 1'!C51</f>
        <v>0</v>
      </c>
      <c r="F51" s="6">
        <f>'Unit 1'!D51</f>
        <v>0</v>
      </c>
      <c r="G51" s="6">
        <f>'Unit 1'!E51</f>
        <v>0</v>
      </c>
      <c r="H51" s="6">
        <f>'Unit 1'!F51</f>
        <v>0</v>
      </c>
      <c r="I51" s="7">
        <f t="shared" si="33"/>
        <v>0</v>
      </c>
      <c r="J51" s="6">
        <f>'Unit 2'!B51</f>
        <v>0</v>
      </c>
      <c r="K51" s="6">
        <f>'Unit 2'!C51</f>
        <v>0</v>
      </c>
      <c r="L51" s="6">
        <f>'Unit 2'!D51</f>
        <v>0</v>
      </c>
      <c r="M51" s="6">
        <f>'Unit 2'!E51</f>
        <v>0</v>
      </c>
      <c r="N51" s="9">
        <f t="shared" si="34"/>
        <v>0</v>
      </c>
      <c r="O51" s="6">
        <f>'Unit 3'!B51</f>
        <v>0</v>
      </c>
      <c r="P51" s="6">
        <f>'Unit 3'!C51</f>
        <v>0</v>
      </c>
      <c r="Q51" s="6">
        <f>'Unit 3'!D51</f>
        <v>0</v>
      </c>
      <c r="R51" s="6">
        <f>'Unit 3'!E51</f>
        <v>0</v>
      </c>
      <c r="S51" s="8">
        <f t="shared" si="35"/>
        <v>0</v>
      </c>
      <c r="T51" s="6">
        <f>'Unit 4'!B51</f>
        <v>0</v>
      </c>
      <c r="U51" s="6">
        <f>'Unit 4'!C51</f>
        <v>0</v>
      </c>
      <c r="V51" s="6">
        <f>'Unit 4'!D51</f>
        <v>0</v>
      </c>
      <c r="W51" s="6">
        <f>'Unit 4'!E51</f>
        <v>0</v>
      </c>
      <c r="X51" s="9">
        <f t="shared" si="36"/>
        <v>0</v>
      </c>
      <c r="Y51" s="6">
        <f t="shared" si="37"/>
        <v>0</v>
      </c>
      <c r="Z51" s="6">
        <f t="shared" si="38"/>
        <v>0</v>
      </c>
      <c r="AA51" s="6">
        <f t="shared" si="39"/>
        <v>0</v>
      </c>
      <c r="AB51" s="6">
        <f t="shared" si="40"/>
        <v>0</v>
      </c>
      <c r="AC51" s="6">
        <f t="shared" si="41"/>
        <v>0</v>
      </c>
      <c r="AD51" s="6">
        <f>'Half yearly'!B51</f>
        <v>0</v>
      </c>
      <c r="AE51" s="6">
        <f>'Half yearly'!C51</f>
        <v>0</v>
      </c>
      <c r="AF51" s="6">
        <f>'Half yearly'!D51</f>
        <v>0</v>
      </c>
      <c r="AG51" s="6">
        <f>'Half yearly'!E51</f>
        <v>0</v>
      </c>
      <c r="AH51" s="6">
        <f t="shared" si="42"/>
        <v>0</v>
      </c>
      <c r="AI51" s="6">
        <f>Annual!B51</f>
        <v>0</v>
      </c>
      <c r="AJ51" s="6">
        <f>Annual!C51</f>
        <v>0</v>
      </c>
      <c r="AK51" s="6">
        <f>Annual!D51</f>
        <v>0</v>
      </c>
      <c r="AL51" s="6">
        <f>Annual!E51</f>
        <v>0</v>
      </c>
      <c r="AM51" s="10">
        <f t="shared" si="43"/>
        <v>0</v>
      </c>
      <c r="AN51" s="6">
        <f t="shared" si="44"/>
        <v>0</v>
      </c>
      <c r="AO51" s="6">
        <f t="shared" si="45"/>
        <v>0</v>
      </c>
      <c r="AP51" s="6">
        <f t="shared" si="46"/>
        <v>0</v>
      </c>
      <c r="AQ51" s="6">
        <f t="shared" si="47"/>
        <v>0</v>
      </c>
      <c r="AR51" s="6">
        <f t="shared" si="48"/>
        <v>0</v>
      </c>
      <c r="AS51" s="6">
        <f t="shared" si="49"/>
        <v>0</v>
      </c>
      <c r="AT51" s="6">
        <f t="shared" si="50"/>
        <v>0</v>
      </c>
      <c r="AU51" s="6">
        <f t="shared" si="51"/>
        <v>0</v>
      </c>
      <c r="AV51" s="6">
        <f t="shared" si="52"/>
        <v>0</v>
      </c>
      <c r="AW51" s="6">
        <f t="shared" si="53"/>
        <v>0</v>
      </c>
      <c r="AX51" s="6">
        <f t="shared" si="54"/>
        <v>0</v>
      </c>
      <c r="AY51" s="6">
        <f t="shared" si="55"/>
        <v>0</v>
      </c>
      <c r="AZ51" s="6">
        <f t="shared" si="56"/>
        <v>0</v>
      </c>
      <c r="BA51" s="6">
        <f t="shared" si="57"/>
        <v>0</v>
      </c>
      <c r="BB51" s="6">
        <f t="shared" si="58"/>
        <v>0</v>
      </c>
      <c r="BC51" s="6">
        <f t="shared" si="59"/>
        <v>0</v>
      </c>
      <c r="BD51" s="6">
        <f t="shared" si="60"/>
        <v>0</v>
      </c>
      <c r="BE51" s="6">
        <f t="shared" si="61"/>
        <v>0</v>
      </c>
      <c r="BF51" s="6">
        <f t="shared" si="62"/>
        <v>0</v>
      </c>
      <c r="BG51" s="11">
        <f t="shared" si="63"/>
        <v>0</v>
      </c>
      <c r="BH51" s="11">
        <f t="shared" si="64"/>
        <v>0</v>
      </c>
      <c r="BI51" s="6" t="str">
        <f t="shared" si="32"/>
        <v>FAIL</v>
      </c>
      <c r="BJ51" s="37"/>
    </row>
    <row r="52" spans="1:62" x14ac:dyDescent="0.3">
      <c r="A52" s="6"/>
      <c r="B52" s="6">
        <f>'Unit 1'!A52</f>
        <v>0</v>
      </c>
      <c r="C52" s="6">
        <f>'Unit 1'!B52</f>
        <v>0</v>
      </c>
      <c r="D52" s="6" t="str">
        <f>'Unit 1'!$G$2</f>
        <v>i</v>
      </c>
      <c r="E52" s="6">
        <f>'Unit 1'!C52</f>
        <v>0</v>
      </c>
      <c r="F52" s="6">
        <f>'Unit 1'!D52</f>
        <v>0</v>
      </c>
      <c r="G52" s="6">
        <f>'Unit 1'!E52</f>
        <v>0</v>
      </c>
      <c r="H52" s="6">
        <f>'Unit 1'!F52</f>
        <v>0</v>
      </c>
      <c r="I52" s="7">
        <f t="shared" si="33"/>
        <v>0</v>
      </c>
      <c r="J52" s="6">
        <f>'Unit 2'!B52</f>
        <v>0</v>
      </c>
      <c r="K52" s="6">
        <f>'Unit 2'!C52</f>
        <v>0</v>
      </c>
      <c r="L52" s="6">
        <f>'Unit 2'!D52</f>
        <v>0</v>
      </c>
      <c r="M52" s="6">
        <f>'Unit 2'!E52</f>
        <v>0</v>
      </c>
      <c r="N52" s="9">
        <f t="shared" si="34"/>
        <v>0</v>
      </c>
      <c r="O52" s="6">
        <f>'Unit 3'!B52</f>
        <v>0</v>
      </c>
      <c r="P52" s="6">
        <f>'Unit 3'!C52</f>
        <v>0</v>
      </c>
      <c r="Q52" s="6">
        <f>'Unit 3'!D52</f>
        <v>0</v>
      </c>
      <c r="R52" s="6">
        <f>'Unit 3'!E52</f>
        <v>0</v>
      </c>
      <c r="S52" s="8">
        <f t="shared" si="35"/>
        <v>0</v>
      </c>
      <c r="T52" s="6">
        <f>'Unit 4'!B52</f>
        <v>0</v>
      </c>
      <c r="U52" s="6">
        <f>'Unit 4'!C52</f>
        <v>0</v>
      </c>
      <c r="V52" s="6">
        <f>'Unit 4'!D52</f>
        <v>0</v>
      </c>
      <c r="W52" s="6">
        <f>'Unit 4'!E52</f>
        <v>0</v>
      </c>
      <c r="X52" s="9">
        <f t="shared" si="36"/>
        <v>0</v>
      </c>
      <c r="Y52" s="6">
        <f t="shared" si="37"/>
        <v>0</v>
      </c>
      <c r="Z52" s="6">
        <f t="shared" si="38"/>
        <v>0</v>
      </c>
      <c r="AA52" s="6">
        <f t="shared" si="39"/>
        <v>0</v>
      </c>
      <c r="AB52" s="6">
        <f t="shared" si="40"/>
        <v>0</v>
      </c>
      <c r="AC52" s="6">
        <f t="shared" si="41"/>
        <v>0</v>
      </c>
      <c r="AD52" s="6">
        <f>'Half yearly'!B52</f>
        <v>0</v>
      </c>
      <c r="AE52" s="6">
        <f>'Half yearly'!C52</f>
        <v>0</v>
      </c>
      <c r="AF52" s="6">
        <f>'Half yearly'!D52</f>
        <v>0</v>
      </c>
      <c r="AG52" s="6">
        <f>'Half yearly'!E52</f>
        <v>0</v>
      </c>
      <c r="AH52" s="6">
        <f t="shared" si="42"/>
        <v>0</v>
      </c>
      <c r="AI52" s="6">
        <f>Annual!B52</f>
        <v>0</v>
      </c>
      <c r="AJ52" s="6">
        <f>Annual!C52</f>
        <v>0</v>
      </c>
      <c r="AK52" s="6">
        <f>Annual!D52</f>
        <v>0</v>
      </c>
      <c r="AL52" s="6">
        <f>Annual!E52</f>
        <v>0</v>
      </c>
      <c r="AM52" s="10">
        <f t="shared" si="43"/>
        <v>0</v>
      </c>
      <c r="AN52" s="6">
        <f t="shared" si="44"/>
        <v>0</v>
      </c>
      <c r="AO52" s="6">
        <f t="shared" si="45"/>
        <v>0</v>
      </c>
      <c r="AP52" s="6">
        <f t="shared" si="46"/>
        <v>0</v>
      </c>
      <c r="AQ52" s="6">
        <f t="shared" si="47"/>
        <v>0</v>
      </c>
      <c r="AR52" s="6">
        <f t="shared" si="48"/>
        <v>0</v>
      </c>
      <c r="AS52" s="6">
        <f t="shared" si="49"/>
        <v>0</v>
      </c>
      <c r="AT52" s="6">
        <f t="shared" si="50"/>
        <v>0</v>
      </c>
      <c r="AU52" s="6">
        <f t="shared" si="51"/>
        <v>0</v>
      </c>
      <c r="AV52" s="6">
        <f t="shared" si="52"/>
        <v>0</v>
      </c>
      <c r="AW52" s="6">
        <f t="shared" si="53"/>
        <v>0</v>
      </c>
      <c r="AX52" s="6">
        <f t="shared" si="54"/>
        <v>0</v>
      </c>
      <c r="AY52" s="6">
        <f t="shared" si="55"/>
        <v>0</v>
      </c>
      <c r="AZ52" s="6">
        <f t="shared" si="56"/>
        <v>0</v>
      </c>
      <c r="BA52" s="6">
        <f t="shared" si="57"/>
        <v>0</v>
      </c>
      <c r="BB52" s="6">
        <f t="shared" si="58"/>
        <v>0</v>
      </c>
      <c r="BC52" s="6">
        <f t="shared" si="59"/>
        <v>0</v>
      </c>
      <c r="BD52" s="6">
        <f t="shared" si="60"/>
        <v>0</v>
      </c>
      <c r="BE52" s="6">
        <f t="shared" si="61"/>
        <v>0</v>
      </c>
      <c r="BF52" s="6">
        <f t="shared" si="62"/>
        <v>0</v>
      </c>
      <c r="BG52" s="11">
        <f t="shared" si="63"/>
        <v>0</v>
      </c>
      <c r="BH52" s="11">
        <f t="shared" si="64"/>
        <v>0</v>
      </c>
      <c r="BI52" s="6" t="str">
        <f t="shared" si="32"/>
        <v>FAIL</v>
      </c>
      <c r="BJ52" s="37"/>
    </row>
    <row r="53" spans="1:62" x14ac:dyDescent="0.3">
      <c r="A53" s="6"/>
      <c r="B53" s="6">
        <f>'Unit 1'!A53</f>
        <v>0</v>
      </c>
      <c r="C53" s="6">
        <f>'Unit 1'!B53</f>
        <v>0</v>
      </c>
      <c r="D53" s="6" t="str">
        <f>'Unit 1'!$G$2</f>
        <v>i</v>
      </c>
      <c r="E53" s="6">
        <f>'Unit 1'!C53</f>
        <v>0</v>
      </c>
      <c r="F53" s="6">
        <f>'Unit 1'!D53</f>
        <v>0</v>
      </c>
      <c r="G53" s="6">
        <f>'Unit 1'!E53</f>
        <v>0</v>
      </c>
      <c r="H53" s="6">
        <f>'Unit 1'!F53</f>
        <v>0</v>
      </c>
      <c r="I53" s="7">
        <f t="shared" si="33"/>
        <v>0</v>
      </c>
      <c r="J53" s="6">
        <f>'Unit 2'!B53</f>
        <v>0</v>
      </c>
      <c r="K53" s="6">
        <f>'Unit 2'!C53</f>
        <v>0</v>
      </c>
      <c r="L53" s="6">
        <f>'Unit 2'!D53</f>
        <v>0</v>
      </c>
      <c r="M53" s="6">
        <f>'Unit 2'!E53</f>
        <v>0</v>
      </c>
      <c r="N53" s="9">
        <f t="shared" si="34"/>
        <v>0</v>
      </c>
      <c r="O53" s="6">
        <f>'Unit 3'!B53</f>
        <v>0</v>
      </c>
      <c r="P53" s="6">
        <f>'Unit 3'!C53</f>
        <v>0</v>
      </c>
      <c r="Q53" s="6">
        <f>'Unit 3'!D53</f>
        <v>0</v>
      </c>
      <c r="R53" s="6">
        <f>'Unit 3'!E53</f>
        <v>0</v>
      </c>
      <c r="S53" s="8">
        <f t="shared" si="35"/>
        <v>0</v>
      </c>
      <c r="T53" s="6">
        <f>'Unit 4'!B53</f>
        <v>0</v>
      </c>
      <c r="U53" s="6">
        <f>'Unit 4'!C53</f>
        <v>0</v>
      </c>
      <c r="V53" s="6">
        <f>'Unit 4'!D53</f>
        <v>0</v>
      </c>
      <c r="W53" s="6">
        <f>'Unit 4'!E53</f>
        <v>0</v>
      </c>
      <c r="X53" s="9">
        <f t="shared" si="36"/>
        <v>0</v>
      </c>
      <c r="Y53" s="6">
        <f t="shared" si="37"/>
        <v>0</v>
      </c>
      <c r="Z53" s="6">
        <f t="shared" si="38"/>
        <v>0</v>
      </c>
      <c r="AA53" s="6">
        <f t="shared" si="39"/>
        <v>0</v>
      </c>
      <c r="AB53" s="6">
        <f t="shared" si="40"/>
        <v>0</v>
      </c>
      <c r="AC53" s="6">
        <f t="shared" si="41"/>
        <v>0</v>
      </c>
      <c r="AD53" s="6">
        <f>'Half yearly'!B53</f>
        <v>0</v>
      </c>
      <c r="AE53" s="6">
        <f>'Half yearly'!C53</f>
        <v>0</v>
      </c>
      <c r="AF53" s="6">
        <f>'Half yearly'!D53</f>
        <v>0</v>
      </c>
      <c r="AG53" s="6">
        <f>'Half yearly'!E53</f>
        <v>0</v>
      </c>
      <c r="AH53" s="6">
        <f t="shared" si="42"/>
        <v>0</v>
      </c>
      <c r="AI53" s="6">
        <f>Annual!B53</f>
        <v>0</v>
      </c>
      <c r="AJ53" s="6">
        <f>Annual!C53</f>
        <v>0</v>
      </c>
      <c r="AK53" s="6">
        <f>Annual!D53</f>
        <v>0</v>
      </c>
      <c r="AL53" s="6">
        <f>Annual!E53</f>
        <v>0</v>
      </c>
      <c r="AM53" s="10">
        <f t="shared" si="43"/>
        <v>0</v>
      </c>
      <c r="AN53" s="6">
        <f t="shared" si="44"/>
        <v>0</v>
      </c>
      <c r="AO53" s="6">
        <f t="shared" si="45"/>
        <v>0</v>
      </c>
      <c r="AP53" s="6">
        <f t="shared" si="46"/>
        <v>0</v>
      </c>
      <c r="AQ53" s="6">
        <f t="shared" si="47"/>
        <v>0</v>
      </c>
      <c r="AR53" s="6">
        <f t="shared" si="48"/>
        <v>0</v>
      </c>
      <c r="AS53" s="6">
        <f t="shared" si="49"/>
        <v>0</v>
      </c>
      <c r="AT53" s="6">
        <f t="shared" si="50"/>
        <v>0</v>
      </c>
      <c r="AU53" s="6">
        <f t="shared" si="51"/>
        <v>0</v>
      </c>
      <c r="AV53" s="6">
        <f t="shared" si="52"/>
        <v>0</v>
      </c>
      <c r="AW53" s="6">
        <f t="shared" si="53"/>
        <v>0</v>
      </c>
      <c r="AX53" s="6">
        <f t="shared" si="54"/>
        <v>0</v>
      </c>
      <c r="AY53" s="6">
        <f t="shared" si="55"/>
        <v>0</v>
      </c>
      <c r="AZ53" s="6">
        <f t="shared" si="56"/>
        <v>0</v>
      </c>
      <c r="BA53" s="6">
        <f t="shared" si="57"/>
        <v>0</v>
      </c>
      <c r="BB53" s="6">
        <f t="shared" si="58"/>
        <v>0</v>
      </c>
      <c r="BC53" s="6">
        <f t="shared" si="59"/>
        <v>0</v>
      </c>
      <c r="BD53" s="6">
        <f t="shared" si="60"/>
        <v>0</v>
      </c>
      <c r="BE53" s="6">
        <f t="shared" si="61"/>
        <v>0</v>
      </c>
      <c r="BF53" s="6">
        <f t="shared" si="62"/>
        <v>0</v>
      </c>
      <c r="BG53" s="11">
        <f t="shared" si="63"/>
        <v>0</v>
      </c>
      <c r="BH53" s="11">
        <f t="shared" si="64"/>
        <v>0</v>
      </c>
      <c r="BI53" s="6" t="str">
        <f t="shared" si="32"/>
        <v>FAIL</v>
      </c>
      <c r="BJ53" s="37"/>
    </row>
    <row r="54" spans="1:62" x14ac:dyDescent="0.3">
      <c r="A54" s="6"/>
      <c r="B54" s="6">
        <f>'Unit 1'!A54</f>
        <v>0</v>
      </c>
      <c r="C54" s="6">
        <f>'Unit 1'!B54</f>
        <v>0</v>
      </c>
      <c r="D54" s="6" t="str">
        <f>'Unit 1'!$G$2</f>
        <v>i</v>
      </c>
      <c r="E54" s="6">
        <f>'Unit 1'!C54</f>
        <v>0</v>
      </c>
      <c r="F54" s="6">
        <f>'Unit 1'!D54</f>
        <v>0</v>
      </c>
      <c r="G54" s="6">
        <f>'Unit 1'!E54</f>
        <v>0</v>
      </c>
      <c r="H54" s="6">
        <f>'Unit 1'!F54</f>
        <v>0</v>
      </c>
      <c r="I54" s="7">
        <f t="shared" si="33"/>
        <v>0</v>
      </c>
      <c r="J54" s="6">
        <f>'Unit 2'!B54</f>
        <v>0</v>
      </c>
      <c r="K54" s="6">
        <f>'Unit 2'!C54</f>
        <v>0</v>
      </c>
      <c r="L54" s="6">
        <f>'Unit 2'!D54</f>
        <v>0</v>
      </c>
      <c r="M54" s="6">
        <f>'Unit 2'!E54</f>
        <v>0</v>
      </c>
      <c r="N54" s="9">
        <f t="shared" si="34"/>
        <v>0</v>
      </c>
      <c r="O54" s="6">
        <f>'Unit 3'!B54</f>
        <v>0</v>
      </c>
      <c r="P54" s="6">
        <f>'Unit 3'!C54</f>
        <v>0</v>
      </c>
      <c r="Q54" s="6">
        <f>'Unit 3'!D54</f>
        <v>0</v>
      </c>
      <c r="R54" s="6">
        <f>'Unit 3'!E54</f>
        <v>0</v>
      </c>
      <c r="S54" s="8">
        <f t="shared" si="35"/>
        <v>0</v>
      </c>
      <c r="T54" s="6">
        <f>'Unit 4'!B54</f>
        <v>0</v>
      </c>
      <c r="U54" s="6">
        <f>'Unit 4'!C54</f>
        <v>0</v>
      </c>
      <c r="V54" s="6">
        <f>'Unit 4'!D54</f>
        <v>0</v>
      </c>
      <c r="W54" s="6">
        <f>'Unit 4'!E54</f>
        <v>0</v>
      </c>
      <c r="X54" s="9">
        <f t="shared" si="36"/>
        <v>0</v>
      </c>
      <c r="Y54" s="6">
        <f t="shared" si="37"/>
        <v>0</v>
      </c>
      <c r="Z54" s="6">
        <f t="shared" si="38"/>
        <v>0</v>
      </c>
      <c r="AA54" s="6">
        <f t="shared" si="39"/>
        <v>0</v>
      </c>
      <c r="AB54" s="6">
        <f t="shared" si="40"/>
        <v>0</v>
      </c>
      <c r="AC54" s="6">
        <f t="shared" si="41"/>
        <v>0</v>
      </c>
      <c r="AD54" s="6">
        <f>'Half yearly'!B54</f>
        <v>0</v>
      </c>
      <c r="AE54" s="6">
        <f>'Half yearly'!C54</f>
        <v>0</v>
      </c>
      <c r="AF54" s="6">
        <f>'Half yearly'!D54</f>
        <v>0</v>
      </c>
      <c r="AG54" s="6">
        <f>'Half yearly'!E54</f>
        <v>0</v>
      </c>
      <c r="AH54" s="6">
        <f t="shared" si="42"/>
        <v>0</v>
      </c>
      <c r="AI54" s="6">
        <f>Annual!B54</f>
        <v>0</v>
      </c>
      <c r="AJ54" s="6">
        <f>Annual!C54</f>
        <v>0</v>
      </c>
      <c r="AK54" s="6">
        <f>Annual!D54</f>
        <v>0</v>
      </c>
      <c r="AL54" s="6">
        <f>Annual!E54</f>
        <v>0</v>
      </c>
      <c r="AM54" s="10">
        <f t="shared" si="43"/>
        <v>0</v>
      </c>
      <c r="AN54" s="6">
        <f t="shared" si="44"/>
        <v>0</v>
      </c>
      <c r="AO54" s="6">
        <f t="shared" si="45"/>
        <v>0</v>
      </c>
      <c r="AP54" s="6">
        <f t="shared" si="46"/>
        <v>0</v>
      </c>
      <c r="AQ54" s="6">
        <f t="shared" si="47"/>
        <v>0</v>
      </c>
      <c r="AR54" s="6">
        <f t="shared" si="48"/>
        <v>0</v>
      </c>
      <c r="AS54" s="6">
        <f t="shared" si="49"/>
        <v>0</v>
      </c>
      <c r="AT54" s="6">
        <f t="shared" si="50"/>
        <v>0</v>
      </c>
      <c r="AU54" s="6">
        <f t="shared" si="51"/>
        <v>0</v>
      </c>
      <c r="AV54" s="6">
        <f t="shared" si="52"/>
        <v>0</v>
      </c>
      <c r="AW54" s="6">
        <f t="shared" si="53"/>
        <v>0</v>
      </c>
      <c r="AX54" s="6">
        <f t="shared" si="54"/>
        <v>0</v>
      </c>
      <c r="AY54" s="6">
        <f t="shared" si="55"/>
        <v>0</v>
      </c>
      <c r="AZ54" s="6">
        <f t="shared" si="56"/>
        <v>0</v>
      </c>
      <c r="BA54" s="6">
        <f t="shared" si="57"/>
        <v>0</v>
      </c>
      <c r="BB54" s="6">
        <f t="shared" si="58"/>
        <v>0</v>
      </c>
      <c r="BC54" s="6">
        <f t="shared" si="59"/>
        <v>0</v>
      </c>
      <c r="BD54" s="6">
        <f t="shared" si="60"/>
        <v>0</v>
      </c>
      <c r="BE54" s="6">
        <f t="shared" si="61"/>
        <v>0</v>
      </c>
      <c r="BF54" s="6">
        <f t="shared" si="62"/>
        <v>0</v>
      </c>
      <c r="BG54" s="11">
        <f t="shared" si="63"/>
        <v>0</v>
      </c>
      <c r="BH54" s="11">
        <f t="shared" si="64"/>
        <v>0</v>
      </c>
      <c r="BI54" s="6" t="str">
        <f t="shared" si="32"/>
        <v>FAIL</v>
      </c>
      <c r="BJ54" s="37"/>
    </row>
    <row r="55" spans="1:62" x14ac:dyDescent="0.3">
      <c r="A55" s="6"/>
      <c r="B55" s="6">
        <f>'Unit 1'!A55</f>
        <v>0</v>
      </c>
      <c r="C55" s="6">
        <f>'Unit 1'!B55</f>
        <v>0</v>
      </c>
      <c r="D55" s="6" t="str">
        <f>'Unit 1'!$G$2</f>
        <v>i</v>
      </c>
      <c r="E55" s="6">
        <f>'Unit 1'!C55</f>
        <v>0</v>
      </c>
      <c r="F55" s="6">
        <f>'Unit 1'!D55</f>
        <v>0</v>
      </c>
      <c r="G55" s="6">
        <f>'Unit 1'!E55</f>
        <v>0</v>
      </c>
      <c r="H55" s="6">
        <f>'Unit 1'!F55</f>
        <v>0</v>
      </c>
      <c r="I55" s="7">
        <f t="shared" si="33"/>
        <v>0</v>
      </c>
      <c r="J55" s="6">
        <f>'Unit 2'!B55</f>
        <v>0</v>
      </c>
      <c r="K55" s="6">
        <f>'Unit 2'!C55</f>
        <v>0</v>
      </c>
      <c r="L55" s="6">
        <f>'Unit 2'!D55</f>
        <v>0</v>
      </c>
      <c r="M55" s="6">
        <f>'Unit 2'!E55</f>
        <v>0</v>
      </c>
      <c r="N55" s="9">
        <f t="shared" si="34"/>
        <v>0</v>
      </c>
      <c r="O55" s="6">
        <f>'Unit 3'!B55</f>
        <v>0</v>
      </c>
      <c r="P55" s="6">
        <f>'Unit 3'!C55</f>
        <v>0</v>
      </c>
      <c r="Q55" s="6">
        <f>'Unit 3'!D55</f>
        <v>0</v>
      </c>
      <c r="R55" s="6">
        <f>'Unit 3'!E55</f>
        <v>0</v>
      </c>
      <c r="S55" s="8">
        <f t="shared" si="35"/>
        <v>0</v>
      </c>
      <c r="T55" s="6">
        <f>'Unit 4'!B55</f>
        <v>0</v>
      </c>
      <c r="U55" s="6">
        <f>'Unit 4'!C55</f>
        <v>0</v>
      </c>
      <c r="V55" s="6">
        <f>'Unit 4'!D55</f>
        <v>0</v>
      </c>
      <c r="W55" s="6">
        <f>'Unit 4'!E55</f>
        <v>0</v>
      </c>
      <c r="X55" s="9">
        <f t="shared" si="36"/>
        <v>0</v>
      </c>
      <c r="Y55" s="6">
        <f t="shared" si="37"/>
        <v>0</v>
      </c>
      <c r="Z55" s="6">
        <f t="shared" si="38"/>
        <v>0</v>
      </c>
      <c r="AA55" s="6">
        <f t="shared" si="39"/>
        <v>0</v>
      </c>
      <c r="AB55" s="6">
        <f t="shared" si="40"/>
        <v>0</v>
      </c>
      <c r="AC55" s="6">
        <f t="shared" si="41"/>
        <v>0</v>
      </c>
      <c r="AD55" s="6">
        <f>'Half yearly'!B55</f>
        <v>0</v>
      </c>
      <c r="AE55" s="6">
        <f>'Half yearly'!C55</f>
        <v>0</v>
      </c>
      <c r="AF55" s="6">
        <f>'Half yearly'!D55</f>
        <v>0</v>
      </c>
      <c r="AG55" s="6">
        <f>'Half yearly'!E55</f>
        <v>0</v>
      </c>
      <c r="AH55" s="6">
        <f t="shared" si="42"/>
        <v>0</v>
      </c>
      <c r="AI55" s="6">
        <f>Annual!B55</f>
        <v>0</v>
      </c>
      <c r="AJ55" s="6">
        <f>Annual!C55</f>
        <v>0</v>
      </c>
      <c r="AK55" s="6">
        <f>Annual!D55</f>
        <v>0</v>
      </c>
      <c r="AL55" s="6">
        <f>Annual!E55</f>
        <v>0</v>
      </c>
      <c r="AM55" s="10">
        <f t="shared" si="43"/>
        <v>0</v>
      </c>
      <c r="AN55" s="6">
        <f t="shared" si="44"/>
        <v>0</v>
      </c>
      <c r="AO55" s="6">
        <f t="shared" si="45"/>
        <v>0</v>
      </c>
      <c r="AP55" s="6">
        <f t="shared" si="46"/>
        <v>0</v>
      </c>
      <c r="AQ55" s="6">
        <f t="shared" si="47"/>
        <v>0</v>
      </c>
      <c r="AR55" s="6">
        <f t="shared" si="48"/>
        <v>0</v>
      </c>
      <c r="AS55" s="6">
        <f t="shared" si="49"/>
        <v>0</v>
      </c>
      <c r="AT55" s="6">
        <f t="shared" si="50"/>
        <v>0</v>
      </c>
      <c r="AU55" s="6">
        <f t="shared" si="51"/>
        <v>0</v>
      </c>
      <c r="AV55" s="6">
        <f t="shared" si="52"/>
        <v>0</v>
      </c>
      <c r="AW55" s="6">
        <f t="shared" si="53"/>
        <v>0</v>
      </c>
      <c r="AX55" s="6">
        <f t="shared" si="54"/>
        <v>0</v>
      </c>
      <c r="AY55" s="6">
        <f t="shared" si="55"/>
        <v>0</v>
      </c>
      <c r="AZ55" s="6">
        <f t="shared" si="56"/>
        <v>0</v>
      </c>
      <c r="BA55" s="6">
        <f t="shared" si="57"/>
        <v>0</v>
      </c>
      <c r="BB55" s="6">
        <f t="shared" si="58"/>
        <v>0</v>
      </c>
      <c r="BC55" s="6">
        <f t="shared" si="59"/>
        <v>0</v>
      </c>
      <c r="BD55" s="6">
        <f t="shared" si="60"/>
        <v>0</v>
      </c>
      <c r="BE55" s="6">
        <f t="shared" si="61"/>
        <v>0</v>
      </c>
      <c r="BF55" s="6">
        <f t="shared" si="62"/>
        <v>0</v>
      </c>
      <c r="BG55" s="11">
        <f t="shared" si="63"/>
        <v>0</v>
      </c>
      <c r="BH55" s="11">
        <f t="shared" si="64"/>
        <v>0</v>
      </c>
      <c r="BI55" s="6" t="str">
        <f t="shared" si="32"/>
        <v>FAIL</v>
      </c>
      <c r="BJ55" s="37"/>
    </row>
    <row r="56" spans="1:62" x14ac:dyDescent="0.3">
      <c r="A56" s="6"/>
      <c r="B56" s="6">
        <f>'Unit 1'!A56</f>
        <v>0</v>
      </c>
      <c r="C56" s="6">
        <f>'Unit 1'!B56</f>
        <v>0</v>
      </c>
      <c r="D56" s="6" t="str">
        <f>'Unit 1'!$G$2</f>
        <v>i</v>
      </c>
      <c r="E56" s="6">
        <f>'Unit 1'!C56</f>
        <v>0</v>
      </c>
      <c r="F56" s="6">
        <f>'Unit 1'!D56</f>
        <v>0</v>
      </c>
      <c r="G56" s="6">
        <f>'Unit 1'!E56</f>
        <v>0</v>
      </c>
      <c r="H56" s="6">
        <f>'Unit 1'!F56</f>
        <v>0</v>
      </c>
      <c r="I56" s="7">
        <f t="shared" si="33"/>
        <v>0</v>
      </c>
      <c r="J56" s="6">
        <f>'Unit 2'!B56</f>
        <v>0</v>
      </c>
      <c r="K56" s="6">
        <f>'Unit 2'!C56</f>
        <v>0</v>
      </c>
      <c r="L56" s="6">
        <f>'Unit 2'!D56</f>
        <v>0</v>
      </c>
      <c r="M56" s="6">
        <f>'Unit 2'!E56</f>
        <v>0</v>
      </c>
      <c r="N56" s="9">
        <f t="shared" si="34"/>
        <v>0</v>
      </c>
      <c r="O56" s="6">
        <f>'Unit 3'!B56</f>
        <v>0</v>
      </c>
      <c r="P56" s="6">
        <f>'Unit 3'!C56</f>
        <v>0</v>
      </c>
      <c r="Q56" s="6">
        <f>'Unit 3'!D56</f>
        <v>0</v>
      </c>
      <c r="R56" s="6">
        <f>'Unit 3'!E56</f>
        <v>0</v>
      </c>
      <c r="S56" s="8">
        <f t="shared" si="35"/>
        <v>0</v>
      </c>
      <c r="T56" s="6">
        <f>'Unit 4'!B56</f>
        <v>0</v>
      </c>
      <c r="U56" s="6">
        <f>'Unit 4'!C56</f>
        <v>0</v>
      </c>
      <c r="V56" s="6">
        <f>'Unit 4'!D56</f>
        <v>0</v>
      </c>
      <c r="W56" s="6">
        <f>'Unit 4'!E56</f>
        <v>0</v>
      </c>
      <c r="X56" s="9">
        <f t="shared" si="36"/>
        <v>0</v>
      </c>
      <c r="Y56" s="6">
        <f t="shared" si="37"/>
        <v>0</v>
      </c>
      <c r="Z56" s="6">
        <f t="shared" si="38"/>
        <v>0</v>
      </c>
      <c r="AA56" s="6">
        <f t="shared" si="39"/>
        <v>0</v>
      </c>
      <c r="AB56" s="6">
        <f t="shared" si="40"/>
        <v>0</v>
      </c>
      <c r="AC56" s="6">
        <f t="shared" si="41"/>
        <v>0</v>
      </c>
      <c r="AD56" s="6">
        <f>'Half yearly'!B56</f>
        <v>0</v>
      </c>
      <c r="AE56" s="6">
        <f>'Half yearly'!C56</f>
        <v>0</v>
      </c>
      <c r="AF56" s="6">
        <f>'Half yearly'!D56</f>
        <v>0</v>
      </c>
      <c r="AG56" s="6">
        <f>'Half yearly'!E56</f>
        <v>0</v>
      </c>
      <c r="AH56" s="6">
        <f t="shared" si="42"/>
        <v>0</v>
      </c>
      <c r="AI56" s="6">
        <f>Annual!B56</f>
        <v>0</v>
      </c>
      <c r="AJ56" s="6">
        <f>Annual!C56</f>
        <v>0</v>
      </c>
      <c r="AK56" s="6">
        <f>Annual!D56</f>
        <v>0</v>
      </c>
      <c r="AL56" s="6">
        <f>Annual!E56</f>
        <v>0</v>
      </c>
      <c r="AM56" s="10">
        <f t="shared" si="43"/>
        <v>0</v>
      </c>
      <c r="AN56" s="6">
        <f t="shared" si="44"/>
        <v>0</v>
      </c>
      <c r="AO56" s="6">
        <f t="shared" si="45"/>
        <v>0</v>
      </c>
      <c r="AP56" s="6">
        <f t="shared" si="46"/>
        <v>0</v>
      </c>
      <c r="AQ56" s="6">
        <f t="shared" si="47"/>
        <v>0</v>
      </c>
      <c r="AR56" s="6">
        <f t="shared" si="48"/>
        <v>0</v>
      </c>
      <c r="AS56" s="6">
        <f t="shared" si="49"/>
        <v>0</v>
      </c>
      <c r="AT56" s="6">
        <f t="shared" si="50"/>
        <v>0</v>
      </c>
      <c r="AU56" s="6">
        <f t="shared" si="51"/>
        <v>0</v>
      </c>
      <c r="AV56" s="6">
        <f t="shared" si="52"/>
        <v>0</v>
      </c>
      <c r="AW56" s="6">
        <f t="shared" si="53"/>
        <v>0</v>
      </c>
      <c r="AX56" s="6">
        <f t="shared" si="54"/>
        <v>0</v>
      </c>
      <c r="AY56" s="6">
        <f t="shared" si="55"/>
        <v>0</v>
      </c>
      <c r="AZ56" s="6">
        <f t="shared" si="56"/>
        <v>0</v>
      </c>
      <c r="BA56" s="6">
        <f t="shared" si="57"/>
        <v>0</v>
      </c>
      <c r="BB56" s="6">
        <f t="shared" si="58"/>
        <v>0</v>
      </c>
      <c r="BC56" s="6">
        <f t="shared" si="59"/>
        <v>0</v>
      </c>
      <c r="BD56" s="6">
        <f t="shared" si="60"/>
        <v>0</v>
      </c>
      <c r="BE56" s="6">
        <f t="shared" si="61"/>
        <v>0</v>
      </c>
      <c r="BF56" s="6">
        <f t="shared" si="62"/>
        <v>0</v>
      </c>
      <c r="BG56" s="11">
        <f t="shared" si="63"/>
        <v>0</v>
      </c>
      <c r="BH56" s="11">
        <f t="shared" si="64"/>
        <v>0</v>
      </c>
      <c r="BI56" s="6" t="str">
        <f t="shared" si="32"/>
        <v>FAIL</v>
      </c>
      <c r="BJ56" s="37"/>
    </row>
    <row r="57" spans="1:62" x14ac:dyDescent="0.3">
      <c r="A57" s="6"/>
      <c r="B57" s="6">
        <f>'Unit 1'!A57</f>
        <v>0</v>
      </c>
      <c r="C57" s="6">
        <f>'Unit 1'!B57</f>
        <v>0</v>
      </c>
      <c r="D57" s="6" t="str">
        <f>'Unit 1'!$G$2</f>
        <v>i</v>
      </c>
      <c r="E57" s="6">
        <f>'Unit 1'!C57</f>
        <v>0</v>
      </c>
      <c r="F57" s="6">
        <f>'Unit 1'!D57</f>
        <v>0</v>
      </c>
      <c r="G57" s="6">
        <f>'Unit 1'!E57</f>
        <v>0</v>
      </c>
      <c r="H57" s="6">
        <f>'Unit 1'!F57</f>
        <v>0</v>
      </c>
      <c r="I57" s="7">
        <f t="shared" si="33"/>
        <v>0</v>
      </c>
      <c r="J57" s="6">
        <f>'Unit 2'!B57</f>
        <v>0</v>
      </c>
      <c r="K57" s="6">
        <f>'Unit 2'!C57</f>
        <v>0</v>
      </c>
      <c r="L57" s="6">
        <f>'Unit 2'!D57</f>
        <v>0</v>
      </c>
      <c r="M57" s="6">
        <f>'Unit 2'!E57</f>
        <v>0</v>
      </c>
      <c r="N57" s="9">
        <f t="shared" si="34"/>
        <v>0</v>
      </c>
      <c r="O57" s="6">
        <f>'Unit 3'!B57</f>
        <v>0</v>
      </c>
      <c r="P57" s="6">
        <f>'Unit 3'!C57</f>
        <v>0</v>
      </c>
      <c r="Q57" s="6">
        <f>'Unit 3'!D57</f>
        <v>0</v>
      </c>
      <c r="R57" s="6">
        <f>'Unit 3'!E57</f>
        <v>0</v>
      </c>
      <c r="S57" s="8">
        <f t="shared" si="35"/>
        <v>0</v>
      </c>
      <c r="T57" s="6">
        <f>'Unit 4'!B57</f>
        <v>0</v>
      </c>
      <c r="U57" s="6">
        <f>'Unit 4'!C57</f>
        <v>0</v>
      </c>
      <c r="V57" s="6">
        <f>'Unit 4'!D57</f>
        <v>0</v>
      </c>
      <c r="W57" s="6">
        <f>'Unit 4'!E57</f>
        <v>0</v>
      </c>
      <c r="X57" s="9">
        <f t="shared" si="36"/>
        <v>0</v>
      </c>
      <c r="Y57" s="6">
        <f t="shared" si="37"/>
        <v>0</v>
      </c>
      <c r="Z57" s="6">
        <f t="shared" si="38"/>
        <v>0</v>
      </c>
      <c r="AA57" s="6">
        <f t="shared" si="39"/>
        <v>0</v>
      </c>
      <c r="AB57" s="6">
        <f t="shared" si="40"/>
        <v>0</v>
      </c>
      <c r="AC57" s="6">
        <f t="shared" si="41"/>
        <v>0</v>
      </c>
      <c r="AD57" s="6">
        <f>'Half yearly'!B57</f>
        <v>0</v>
      </c>
      <c r="AE57" s="6">
        <f>'Half yearly'!C57</f>
        <v>0</v>
      </c>
      <c r="AF57" s="6">
        <f>'Half yearly'!D57</f>
        <v>0</v>
      </c>
      <c r="AG57" s="6">
        <f>'Half yearly'!E57</f>
        <v>0</v>
      </c>
      <c r="AH57" s="6">
        <f t="shared" si="42"/>
        <v>0</v>
      </c>
      <c r="AI57" s="6">
        <f>Annual!B57</f>
        <v>0</v>
      </c>
      <c r="AJ57" s="6">
        <f>Annual!C57</f>
        <v>0</v>
      </c>
      <c r="AK57" s="6">
        <f>Annual!D57</f>
        <v>0</v>
      </c>
      <c r="AL57" s="6">
        <f>Annual!E57</f>
        <v>0</v>
      </c>
      <c r="AM57" s="10">
        <f t="shared" si="43"/>
        <v>0</v>
      </c>
      <c r="AN57" s="6">
        <f t="shared" si="44"/>
        <v>0</v>
      </c>
      <c r="AO57" s="6">
        <f t="shared" si="45"/>
        <v>0</v>
      </c>
      <c r="AP57" s="6">
        <f t="shared" si="46"/>
        <v>0</v>
      </c>
      <c r="AQ57" s="6">
        <f t="shared" si="47"/>
        <v>0</v>
      </c>
      <c r="AR57" s="6">
        <f t="shared" si="48"/>
        <v>0</v>
      </c>
      <c r="AS57" s="6">
        <f t="shared" si="49"/>
        <v>0</v>
      </c>
      <c r="AT57" s="6">
        <f t="shared" si="50"/>
        <v>0</v>
      </c>
      <c r="AU57" s="6">
        <f t="shared" si="51"/>
        <v>0</v>
      </c>
      <c r="AV57" s="6">
        <f t="shared" si="52"/>
        <v>0</v>
      </c>
      <c r="AW57" s="6">
        <f t="shared" si="53"/>
        <v>0</v>
      </c>
      <c r="AX57" s="6">
        <f t="shared" si="54"/>
        <v>0</v>
      </c>
      <c r="AY57" s="6">
        <f t="shared" si="55"/>
        <v>0</v>
      </c>
      <c r="AZ57" s="6">
        <f t="shared" si="56"/>
        <v>0</v>
      </c>
      <c r="BA57" s="6">
        <f t="shared" si="57"/>
        <v>0</v>
      </c>
      <c r="BB57" s="6">
        <f t="shared" si="58"/>
        <v>0</v>
      </c>
      <c r="BC57" s="6">
        <f t="shared" si="59"/>
        <v>0</v>
      </c>
      <c r="BD57" s="6">
        <f t="shared" si="60"/>
        <v>0</v>
      </c>
      <c r="BE57" s="6">
        <f t="shared" si="61"/>
        <v>0</v>
      </c>
      <c r="BF57" s="6">
        <f t="shared" si="62"/>
        <v>0</v>
      </c>
      <c r="BG57" s="11">
        <f t="shared" si="63"/>
        <v>0</v>
      </c>
      <c r="BH57" s="11">
        <f t="shared" si="64"/>
        <v>0</v>
      </c>
      <c r="BI57" s="6" t="str">
        <f t="shared" si="32"/>
        <v>FAIL</v>
      </c>
      <c r="BJ57" s="37"/>
    </row>
    <row r="58" spans="1:62" x14ac:dyDescent="0.3">
      <c r="A58" s="6"/>
      <c r="B58" s="6">
        <f>'Unit 1'!A58</f>
        <v>0</v>
      </c>
      <c r="C58" s="6">
        <f>'Unit 1'!B58</f>
        <v>0</v>
      </c>
      <c r="D58" s="6" t="str">
        <f>'Unit 1'!$G$2</f>
        <v>i</v>
      </c>
      <c r="E58" s="6">
        <f>'Unit 1'!C58</f>
        <v>0</v>
      </c>
      <c r="F58" s="6">
        <f>'Unit 1'!D58</f>
        <v>0</v>
      </c>
      <c r="G58" s="6">
        <f>'Unit 1'!E58</f>
        <v>0</v>
      </c>
      <c r="H58" s="6">
        <f>'Unit 1'!F58</f>
        <v>0</v>
      </c>
      <c r="I58" s="7">
        <f t="shared" si="33"/>
        <v>0</v>
      </c>
      <c r="J58" s="6">
        <f>'Unit 2'!B58</f>
        <v>0</v>
      </c>
      <c r="K58" s="6">
        <f>'Unit 2'!C58</f>
        <v>0</v>
      </c>
      <c r="L58" s="6">
        <f>'Unit 2'!D58</f>
        <v>0</v>
      </c>
      <c r="M58" s="6">
        <f>'Unit 2'!E58</f>
        <v>0</v>
      </c>
      <c r="N58" s="9">
        <f t="shared" si="34"/>
        <v>0</v>
      </c>
      <c r="O58" s="6">
        <f>'Unit 3'!B58</f>
        <v>0</v>
      </c>
      <c r="P58" s="6">
        <f>'Unit 3'!C58</f>
        <v>0</v>
      </c>
      <c r="Q58" s="6">
        <f>'Unit 3'!D58</f>
        <v>0</v>
      </c>
      <c r="R58" s="6">
        <f>'Unit 3'!E58</f>
        <v>0</v>
      </c>
      <c r="S58" s="8">
        <f t="shared" si="35"/>
        <v>0</v>
      </c>
      <c r="T58" s="6">
        <f>'Unit 4'!B58</f>
        <v>0</v>
      </c>
      <c r="U58" s="6">
        <f>'Unit 4'!C58</f>
        <v>0</v>
      </c>
      <c r="V58" s="6">
        <f>'Unit 4'!D58</f>
        <v>0</v>
      </c>
      <c r="W58" s="6">
        <f>'Unit 4'!E58</f>
        <v>0</v>
      </c>
      <c r="X58" s="9">
        <f t="shared" si="36"/>
        <v>0</v>
      </c>
      <c r="Y58" s="6">
        <f t="shared" si="37"/>
        <v>0</v>
      </c>
      <c r="Z58" s="6">
        <f t="shared" si="38"/>
        <v>0</v>
      </c>
      <c r="AA58" s="6">
        <f t="shared" si="39"/>
        <v>0</v>
      </c>
      <c r="AB58" s="6">
        <f t="shared" si="40"/>
        <v>0</v>
      </c>
      <c r="AC58" s="6">
        <f t="shared" si="41"/>
        <v>0</v>
      </c>
      <c r="AD58" s="6">
        <f>'Half yearly'!B58</f>
        <v>0</v>
      </c>
      <c r="AE58" s="6">
        <f>'Half yearly'!C58</f>
        <v>0</v>
      </c>
      <c r="AF58" s="6">
        <f>'Half yearly'!D58</f>
        <v>0</v>
      </c>
      <c r="AG58" s="6">
        <f>'Half yearly'!E58</f>
        <v>0</v>
      </c>
      <c r="AH58" s="6">
        <f t="shared" si="42"/>
        <v>0</v>
      </c>
      <c r="AI58" s="6">
        <f>Annual!B58</f>
        <v>0</v>
      </c>
      <c r="AJ58" s="6">
        <f>Annual!C58</f>
        <v>0</v>
      </c>
      <c r="AK58" s="6">
        <f>Annual!D58</f>
        <v>0</v>
      </c>
      <c r="AL58" s="6">
        <f>Annual!E58</f>
        <v>0</v>
      </c>
      <c r="AM58" s="10">
        <f t="shared" si="43"/>
        <v>0</v>
      </c>
      <c r="AN58" s="6">
        <f t="shared" si="44"/>
        <v>0</v>
      </c>
      <c r="AO58" s="6">
        <f t="shared" si="45"/>
        <v>0</v>
      </c>
      <c r="AP58" s="6">
        <f t="shared" si="46"/>
        <v>0</v>
      </c>
      <c r="AQ58" s="6">
        <f t="shared" si="47"/>
        <v>0</v>
      </c>
      <c r="AR58" s="6">
        <f t="shared" si="48"/>
        <v>0</v>
      </c>
      <c r="AS58" s="6">
        <f t="shared" si="49"/>
        <v>0</v>
      </c>
      <c r="AT58" s="6">
        <f t="shared" si="50"/>
        <v>0</v>
      </c>
      <c r="AU58" s="6">
        <f t="shared" si="51"/>
        <v>0</v>
      </c>
      <c r="AV58" s="6">
        <f t="shared" si="52"/>
        <v>0</v>
      </c>
      <c r="AW58" s="6">
        <f t="shared" si="53"/>
        <v>0</v>
      </c>
      <c r="AX58" s="6">
        <f t="shared" si="54"/>
        <v>0</v>
      </c>
      <c r="AY58" s="6">
        <f t="shared" si="55"/>
        <v>0</v>
      </c>
      <c r="AZ58" s="6">
        <f t="shared" si="56"/>
        <v>0</v>
      </c>
      <c r="BA58" s="6">
        <f t="shared" si="57"/>
        <v>0</v>
      </c>
      <c r="BB58" s="6">
        <f t="shared" si="58"/>
        <v>0</v>
      </c>
      <c r="BC58" s="6">
        <f t="shared" si="59"/>
        <v>0</v>
      </c>
      <c r="BD58" s="6">
        <f t="shared" si="60"/>
        <v>0</v>
      </c>
      <c r="BE58" s="6">
        <f t="shared" si="61"/>
        <v>0</v>
      </c>
      <c r="BF58" s="6">
        <f t="shared" si="62"/>
        <v>0</v>
      </c>
      <c r="BG58" s="11">
        <f t="shared" si="63"/>
        <v>0</v>
      </c>
      <c r="BH58" s="11">
        <f t="shared" si="64"/>
        <v>0</v>
      </c>
      <c r="BI58" s="6" t="str">
        <f t="shared" si="32"/>
        <v>FAIL</v>
      </c>
      <c r="BJ58" s="37"/>
    </row>
    <row r="59" spans="1:62" x14ac:dyDescent="0.3">
      <c r="A59" s="6"/>
      <c r="B59" s="6">
        <f>'Unit 1'!A59</f>
        <v>0</v>
      </c>
      <c r="C59" s="6">
        <f>'Unit 1'!B59</f>
        <v>0</v>
      </c>
      <c r="D59" s="6" t="str">
        <f>'Unit 1'!$G$2</f>
        <v>i</v>
      </c>
      <c r="E59" s="6">
        <f>'Unit 1'!C59</f>
        <v>0</v>
      </c>
      <c r="F59" s="6">
        <f>'Unit 1'!D59</f>
        <v>0</v>
      </c>
      <c r="G59" s="6">
        <f>'Unit 1'!E59</f>
        <v>0</v>
      </c>
      <c r="H59" s="6">
        <f>'Unit 1'!F59</f>
        <v>0</v>
      </c>
      <c r="I59" s="7">
        <f t="shared" si="33"/>
        <v>0</v>
      </c>
      <c r="J59" s="6">
        <f>'Unit 2'!B59</f>
        <v>0</v>
      </c>
      <c r="K59" s="6">
        <f>'Unit 2'!C59</f>
        <v>0</v>
      </c>
      <c r="L59" s="6">
        <f>'Unit 2'!D59</f>
        <v>0</v>
      </c>
      <c r="M59" s="6">
        <f>'Unit 2'!E59</f>
        <v>0</v>
      </c>
      <c r="N59" s="9">
        <f t="shared" si="34"/>
        <v>0</v>
      </c>
      <c r="O59" s="6">
        <f>'Unit 3'!B59</f>
        <v>0</v>
      </c>
      <c r="P59" s="6">
        <f>'Unit 3'!C59</f>
        <v>0</v>
      </c>
      <c r="Q59" s="6">
        <f>'Unit 3'!D59</f>
        <v>0</v>
      </c>
      <c r="R59" s="6">
        <f>'Unit 3'!E59</f>
        <v>0</v>
      </c>
      <c r="S59" s="8">
        <f t="shared" si="35"/>
        <v>0</v>
      </c>
      <c r="T59" s="6">
        <f>'Unit 4'!B59</f>
        <v>0</v>
      </c>
      <c r="U59" s="6">
        <f>'Unit 4'!C59</f>
        <v>0</v>
      </c>
      <c r="V59" s="6">
        <f>'Unit 4'!D59</f>
        <v>0</v>
      </c>
      <c r="W59" s="6">
        <f>'Unit 4'!E59</f>
        <v>0</v>
      </c>
      <c r="X59" s="9">
        <f t="shared" si="36"/>
        <v>0</v>
      </c>
      <c r="Y59" s="6">
        <f t="shared" si="37"/>
        <v>0</v>
      </c>
      <c r="Z59" s="6">
        <f t="shared" si="38"/>
        <v>0</v>
      </c>
      <c r="AA59" s="6">
        <f t="shared" si="39"/>
        <v>0</v>
      </c>
      <c r="AB59" s="6">
        <f t="shared" si="40"/>
        <v>0</v>
      </c>
      <c r="AC59" s="6">
        <f t="shared" si="41"/>
        <v>0</v>
      </c>
      <c r="AD59" s="6">
        <f>'Half yearly'!B59</f>
        <v>0</v>
      </c>
      <c r="AE59" s="6">
        <f>'Half yearly'!C59</f>
        <v>0</v>
      </c>
      <c r="AF59" s="6">
        <f>'Half yearly'!D59</f>
        <v>0</v>
      </c>
      <c r="AG59" s="6">
        <f>'Half yearly'!E59</f>
        <v>0</v>
      </c>
      <c r="AH59" s="6">
        <f t="shared" si="42"/>
        <v>0</v>
      </c>
      <c r="AI59" s="6">
        <f>Annual!B59</f>
        <v>0</v>
      </c>
      <c r="AJ59" s="6">
        <f>Annual!C59</f>
        <v>0</v>
      </c>
      <c r="AK59" s="6">
        <f>Annual!D59</f>
        <v>0</v>
      </c>
      <c r="AL59" s="6">
        <f>Annual!E59</f>
        <v>0</v>
      </c>
      <c r="AM59" s="10">
        <f t="shared" si="43"/>
        <v>0</v>
      </c>
      <c r="AN59" s="6">
        <f t="shared" si="44"/>
        <v>0</v>
      </c>
      <c r="AO59" s="6">
        <f t="shared" si="45"/>
        <v>0</v>
      </c>
      <c r="AP59" s="6">
        <f t="shared" si="46"/>
        <v>0</v>
      </c>
      <c r="AQ59" s="6">
        <f t="shared" si="47"/>
        <v>0</v>
      </c>
      <c r="AR59" s="6">
        <f t="shared" si="48"/>
        <v>0</v>
      </c>
      <c r="AS59" s="6">
        <f t="shared" si="49"/>
        <v>0</v>
      </c>
      <c r="AT59" s="6">
        <f t="shared" si="50"/>
        <v>0</v>
      </c>
      <c r="AU59" s="6">
        <f t="shared" si="51"/>
        <v>0</v>
      </c>
      <c r="AV59" s="6">
        <f t="shared" si="52"/>
        <v>0</v>
      </c>
      <c r="AW59" s="6">
        <f t="shared" si="53"/>
        <v>0</v>
      </c>
      <c r="AX59" s="6">
        <f t="shared" si="54"/>
        <v>0</v>
      </c>
      <c r="AY59" s="6">
        <f t="shared" si="55"/>
        <v>0</v>
      </c>
      <c r="AZ59" s="6">
        <f t="shared" si="56"/>
        <v>0</v>
      </c>
      <c r="BA59" s="6">
        <f t="shared" si="57"/>
        <v>0</v>
      </c>
      <c r="BB59" s="6">
        <f t="shared" si="58"/>
        <v>0</v>
      </c>
      <c r="BC59" s="6">
        <f t="shared" si="59"/>
        <v>0</v>
      </c>
      <c r="BD59" s="6">
        <f t="shared" si="60"/>
        <v>0</v>
      </c>
      <c r="BE59" s="6">
        <f t="shared" si="61"/>
        <v>0</v>
      </c>
      <c r="BF59" s="6">
        <f t="shared" si="62"/>
        <v>0</v>
      </c>
      <c r="BG59" s="11">
        <f t="shared" si="63"/>
        <v>0</v>
      </c>
      <c r="BH59" s="11">
        <f t="shared" si="64"/>
        <v>0</v>
      </c>
      <c r="BI59" s="6" t="str">
        <f t="shared" si="32"/>
        <v>FAIL</v>
      </c>
      <c r="BJ59" s="37"/>
    </row>
    <row r="60" spans="1:62" x14ac:dyDescent="0.3">
      <c r="A60" s="6"/>
      <c r="B60" s="6">
        <f>'Unit 1'!A60</f>
        <v>0</v>
      </c>
      <c r="C60" s="6">
        <f>'Unit 1'!B60</f>
        <v>0</v>
      </c>
      <c r="D60" s="6" t="str">
        <f>'Unit 1'!$G$2</f>
        <v>i</v>
      </c>
      <c r="E60" s="6">
        <f>'Unit 1'!C60</f>
        <v>0</v>
      </c>
      <c r="F60" s="6">
        <f>'Unit 1'!D60</f>
        <v>0</v>
      </c>
      <c r="G60" s="6">
        <f>'Unit 1'!E60</f>
        <v>0</v>
      </c>
      <c r="H60" s="6">
        <f>'Unit 1'!F60</f>
        <v>0</v>
      </c>
      <c r="I60" s="7">
        <f t="shared" si="33"/>
        <v>0</v>
      </c>
      <c r="J60" s="6">
        <f>'Unit 2'!B60</f>
        <v>0</v>
      </c>
      <c r="K60" s="6">
        <f>'Unit 2'!C60</f>
        <v>0</v>
      </c>
      <c r="L60" s="6">
        <f>'Unit 2'!D60</f>
        <v>0</v>
      </c>
      <c r="M60" s="6">
        <f>'Unit 2'!E60</f>
        <v>0</v>
      </c>
      <c r="N60" s="9">
        <f t="shared" si="34"/>
        <v>0</v>
      </c>
      <c r="O60" s="6">
        <f>'Unit 3'!B60</f>
        <v>0</v>
      </c>
      <c r="P60" s="6">
        <f>'Unit 3'!C60</f>
        <v>0</v>
      </c>
      <c r="Q60" s="6">
        <f>'Unit 3'!D60</f>
        <v>0</v>
      </c>
      <c r="R60" s="6">
        <f>'Unit 3'!E60</f>
        <v>0</v>
      </c>
      <c r="S60" s="8">
        <f t="shared" si="35"/>
        <v>0</v>
      </c>
      <c r="T60" s="6">
        <f>'Unit 4'!B60</f>
        <v>0</v>
      </c>
      <c r="U60" s="6">
        <f>'Unit 4'!C60</f>
        <v>0</v>
      </c>
      <c r="V60" s="6">
        <f>'Unit 4'!D60</f>
        <v>0</v>
      </c>
      <c r="W60" s="6">
        <f>'Unit 4'!E60</f>
        <v>0</v>
      </c>
      <c r="X60" s="9">
        <f t="shared" si="36"/>
        <v>0</v>
      </c>
      <c r="Y60" s="6">
        <f t="shared" si="37"/>
        <v>0</v>
      </c>
      <c r="Z60" s="6">
        <f t="shared" si="38"/>
        <v>0</v>
      </c>
      <c r="AA60" s="6">
        <f t="shared" si="39"/>
        <v>0</v>
      </c>
      <c r="AB60" s="6">
        <f t="shared" si="40"/>
        <v>0</v>
      </c>
      <c r="AC60" s="6">
        <f t="shared" si="41"/>
        <v>0</v>
      </c>
      <c r="AD60" s="6">
        <f>'Half yearly'!B60</f>
        <v>0</v>
      </c>
      <c r="AE60" s="6">
        <f>'Half yearly'!C60</f>
        <v>0</v>
      </c>
      <c r="AF60" s="6">
        <f>'Half yearly'!D60</f>
        <v>0</v>
      </c>
      <c r="AG60" s="6">
        <f>'Half yearly'!E60</f>
        <v>0</v>
      </c>
      <c r="AH60" s="6">
        <f t="shared" si="42"/>
        <v>0</v>
      </c>
      <c r="AI60" s="6">
        <f>Annual!B60</f>
        <v>0</v>
      </c>
      <c r="AJ60" s="6">
        <f>Annual!C60</f>
        <v>0</v>
      </c>
      <c r="AK60" s="6">
        <f>Annual!D60</f>
        <v>0</v>
      </c>
      <c r="AL60" s="6">
        <f>Annual!E60</f>
        <v>0</v>
      </c>
      <c r="AM60" s="10">
        <f t="shared" si="43"/>
        <v>0</v>
      </c>
      <c r="AN60" s="6">
        <f t="shared" si="44"/>
        <v>0</v>
      </c>
      <c r="AO60" s="6">
        <f t="shared" si="45"/>
        <v>0</v>
      </c>
      <c r="AP60" s="6">
        <f t="shared" si="46"/>
        <v>0</v>
      </c>
      <c r="AQ60" s="6">
        <f t="shared" si="47"/>
        <v>0</v>
      </c>
      <c r="AR60" s="6">
        <f t="shared" si="48"/>
        <v>0</v>
      </c>
      <c r="AS60" s="6">
        <f t="shared" si="49"/>
        <v>0</v>
      </c>
      <c r="AT60" s="6">
        <f t="shared" si="50"/>
        <v>0</v>
      </c>
      <c r="AU60" s="6">
        <f t="shared" si="51"/>
        <v>0</v>
      </c>
      <c r="AV60" s="6">
        <f t="shared" si="52"/>
        <v>0</v>
      </c>
      <c r="AW60" s="6">
        <f t="shared" si="53"/>
        <v>0</v>
      </c>
      <c r="AX60" s="6">
        <f t="shared" si="54"/>
        <v>0</v>
      </c>
      <c r="AY60" s="6">
        <f t="shared" si="55"/>
        <v>0</v>
      </c>
      <c r="AZ60" s="6">
        <f t="shared" si="56"/>
        <v>0</v>
      </c>
      <c r="BA60" s="6">
        <f t="shared" si="57"/>
        <v>0</v>
      </c>
      <c r="BB60" s="6">
        <f t="shared" si="58"/>
        <v>0</v>
      </c>
      <c r="BC60" s="6">
        <f t="shared" si="59"/>
        <v>0</v>
      </c>
      <c r="BD60" s="6">
        <f t="shared" si="60"/>
        <v>0</v>
      </c>
      <c r="BE60" s="6">
        <f t="shared" si="61"/>
        <v>0</v>
      </c>
      <c r="BF60" s="6">
        <f t="shared" si="62"/>
        <v>0</v>
      </c>
      <c r="BG60" s="11">
        <f t="shared" si="63"/>
        <v>0</v>
      </c>
      <c r="BH60" s="11">
        <f t="shared" si="64"/>
        <v>0</v>
      </c>
      <c r="BI60" s="6" t="str">
        <f t="shared" si="32"/>
        <v>FAIL</v>
      </c>
      <c r="BJ60" s="37"/>
    </row>
    <row r="61" spans="1:62" x14ac:dyDescent="0.3">
      <c r="I61" s="12"/>
      <c r="N61" s="12"/>
      <c r="S61" s="12"/>
      <c r="X61" s="12"/>
      <c r="AM61" s="12"/>
      <c r="BJ61" s="37"/>
    </row>
    <row r="62" spans="1:62" x14ac:dyDescent="0.3">
      <c r="I62" s="12"/>
      <c r="N62" s="12"/>
      <c r="S62" s="12"/>
      <c r="X62" s="12"/>
      <c r="AM62" s="12"/>
    </row>
    <row r="63" spans="1:62" x14ac:dyDescent="0.3">
      <c r="I63" s="12"/>
      <c r="N63" s="12"/>
      <c r="S63" s="12"/>
      <c r="X63" s="12"/>
      <c r="AM63" s="12"/>
    </row>
    <row r="64" spans="1:62" x14ac:dyDescent="0.3">
      <c r="I64" s="12"/>
      <c r="N64" s="12"/>
      <c r="S64" s="12"/>
      <c r="X64" s="12"/>
      <c r="AM64" s="12"/>
    </row>
    <row r="65" spans="9:39" x14ac:dyDescent="0.3">
      <c r="I65" s="12"/>
      <c r="N65" s="12"/>
      <c r="S65" s="12"/>
      <c r="X65" s="12"/>
      <c r="AM65" s="12"/>
    </row>
    <row r="66" spans="9:39" x14ac:dyDescent="0.3">
      <c r="I66" s="12"/>
      <c r="N66" s="12"/>
      <c r="S66" s="12"/>
      <c r="X66" s="12"/>
      <c r="AM66" s="12"/>
    </row>
    <row r="67" spans="9:39" x14ac:dyDescent="0.3">
      <c r="I67" s="12"/>
      <c r="N67" s="12"/>
      <c r="S67" s="12"/>
      <c r="X67" s="12"/>
      <c r="AM67" s="12"/>
    </row>
    <row r="68" spans="9:39" x14ac:dyDescent="0.3">
      <c r="I68" s="12"/>
      <c r="N68" s="12"/>
      <c r="S68" s="12"/>
      <c r="X68" s="12"/>
      <c r="AM68" s="12"/>
    </row>
    <row r="69" spans="9:39" x14ac:dyDescent="0.3">
      <c r="I69" s="12"/>
      <c r="N69" s="12"/>
      <c r="S69" s="12"/>
      <c r="X69" s="12"/>
      <c r="AM69" s="12"/>
    </row>
    <row r="70" spans="9:39" x14ac:dyDescent="0.3">
      <c r="I70" s="12"/>
      <c r="N70" s="12"/>
      <c r="S70" s="12"/>
      <c r="X70" s="12"/>
      <c r="AM70" s="12"/>
    </row>
    <row r="71" spans="9:39" x14ac:dyDescent="0.3">
      <c r="I71" s="12"/>
      <c r="N71" s="12"/>
      <c r="S71" s="12"/>
      <c r="X71" s="12"/>
      <c r="AM71" s="12"/>
    </row>
    <row r="72" spans="9:39" x14ac:dyDescent="0.3">
      <c r="I72" s="12"/>
      <c r="N72" s="12"/>
      <c r="S72" s="12"/>
      <c r="X72" s="12"/>
      <c r="AM72" s="12"/>
    </row>
    <row r="73" spans="9:39" x14ac:dyDescent="0.3">
      <c r="I73" s="12"/>
      <c r="N73" s="12"/>
      <c r="S73" s="12"/>
      <c r="X73" s="12"/>
      <c r="AM73" s="12"/>
    </row>
    <row r="74" spans="9:39" x14ac:dyDescent="0.3">
      <c r="I74" s="12"/>
      <c r="N74" s="12"/>
      <c r="S74" s="12"/>
      <c r="X74" s="12"/>
      <c r="AM74" s="12"/>
    </row>
    <row r="75" spans="9:39" x14ac:dyDescent="0.3">
      <c r="I75" s="12"/>
      <c r="N75" s="12"/>
      <c r="S75" s="12"/>
      <c r="X75" s="12"/>
      <c r="AM75" s="12"/>
    </row>
    <row r="76" spans="9:39" x14ac:dyDescent="0.3">
      <c r="I76" s="12"/>
      <c r="N76" s="12"/>
      <c r="S76" s="12"/>
      <c r="X76" s="12"/>
      <c r="AM76" s="12"/>
    </row>
    <row r="77" spans="9:39" x14ac:dyDescent="0.3">
      <c r="I77" s="12"/>
      <c r="N77" s="12"/>
      <c r="S77" s="12"/>
      <c r="X77" s="12"/>
      <c r="AM77" s="12"/>
    </row>
    <row r="78" spans="9:39" x14ac:dyDescent="0.3">
      <c r="I78" s="12"/>
      <c r="N78" s="12"/>
      <c r="S78" s="12"/>
      <c r="X78" s="12"/>
      <c r="AM78" s="12"/>
    </row>
    <row r="79" spans="9:39" x14ac:dyDescent="0.3">
      <c r="I79" s="12"/>
      <c r="N79" s="12"/>
      <c r="S79" s="12"/>
      <c r="X79" s="12"/>
      <c r="AM79" s="12"/>
    </row>
    <row r="80" spans="9:39" x14ac:dyDescent="0.3">
      <c r="I80" s="12"/>
      <c r="N80" s="12"/>
      <c r="S80" s="12"/>
      <c r="X80" s="12"/>
      <c r="AM80" s="12"/>
    </row>
    <row r="81" spans="9:39" x14ac:dyDescent="0.3">
      <c r="I81" s="12"/>
      <c r="N81" s="12"/>
      <c r="S81" s="12"/>
      <c r="X81" s="12"/>
      <c r="AM81" s="12"/>
    </row>
    <row r="82" spans="9:39" x14ac:dyDescent="0.3">
      <c r="I82" s="12"/>
      <c r="N82" s="12"/>
      <c r="S82" s="12"/>
      <c r="X82" s="12"/>
      <c r="AM82" s="12"/>
    </row>
    <row r="83" spans="9:39" x14ac:dyDescent="0.3">
      <c r="I83" s="12"/>
      <c r="N83" s="12"/>
      <c r="S83" s="12"/>
      <c r="X83" s="12"/>
      <c r="AM83" s="12"/>
    </row>
    <row r="84" spans="9:39" x14ac:dyDescent="0.3">
      <c r="I84" s="12"/>
      <c r="N84" s="12"/>
      <c r="S84" s="12"/>
      <c r="X84" s="12"/>
      <c r="AM84" s="12"/>
    </row>
    <row r="85" spans="9:39" x14ac:dyDescent="0.3">
      <c r="I85" s="12"/>
      <c r="N85" s="12"/>
      <c r="S85" s="12"/>
      <c r="X85" s="12"/>
      <c r="AM85" s="12"/>
    </row>
    <row r="86" spans="9:39" x14ac:dyDescent="0.3">
      <c r="I86" s="12"/>
      <c r="N86" s="12"/>
      <c r="S86" s="12"/>
      <c r="X86" s="12"/>
      <c r="AM86" s="12"/>
    </row>
    <row r="87" spans="9:39" x14ac:dyDescent="0.3">
      <c r="I87" s="12"/>
      <c r="N87" s="12"/>
      <c r="S87" s="12"/>
      <c r="X87" s="12"/>
      <c r="AM87" s="12"/>
    </row>
    <row r="88" spans="9:39" x14ac:dyDescent="0.3">
      <c r="I88" s="12"/>
      <c r="N88" s="12"/>
      <c r="S88" s="12"/>
      <c r="X88" s="12"/>
      <c r="AM88" s="12"/>
    </row>
    <row r="89" spans="9:39" x14ac:dyDescent="0.3">
      <c r="I89" s="12"/>
      <c r="N89" s="12"/>
      <c r="S89" s="12"/>
      <c r="X89" s="12"/>
      <c r="AM89" s="12"/>
    </row>
    <row r="90" spans="9:39" x14ac:dyDescent="0.3">
      <c r="I90" s="12"/>
      <c r="N90" s="12"/>
      <c r="S90" s="12"/>
      <c r="X90" s="12"/>
      <c r="AM90" s="12"/>
    </row>
    <row r="91" spans="9:39" x14ac:dyDescent="0.3">
      <c r="I91" s="12"/>
      <c r="N91" s="12"/>
      <c r="S91" s="12"/>
      <c r="X91" s="12"/>
      <c r="AM91" s="12"/>
    </row>
    <row r="92" spans="9:39" x14ac:dyDescent="0.3">
      <c r="I92" s="12"/>
      <c r="N92" s="12"/>
      <c r="S92" s="12"/>
      <c r="X92" s="12"/>
      <c r="AM92" s="12"/>
    </row>
    <row r="93" spans="9:39" x14ac:dyDescent="0.3">
      <c r="I93" s="12"/>
      <c r="N93" s="12"/>
      <c r="S93" s="12"/>
      <c r="X93" s="12"/>
      <c r="AM93" s="12"/>
    </row>
    <row r="94" spans="9:39" x14ac:dyDescent="0.3">
      <c r="I94" s="12"/>
      <c r="N94" s="12"/>
      <c r="S94" s="12"/>
      <c r="X94" s="12"/>
      <c r="AM94" s="12"/>
    </row>
    <row r="95" spans="9:39" x14ac:dyDescent="0.3">
      <c r="I95" s="12"/>
      <c r="N95" s="12"/>
      <c r="S95" s="12"/>
      <c r="X95" s="12"/>
      <c r="AM95" s="12"/>
    </row>
    <row r="96" spans="9:39" x14ac:dyDescent="0.3">
      <c r="I96" s="12"/>
      <c r="N96" s="12"/>
      <c r="S96" s="12"/>
      <c r="X96" s="12"/>
      <c r="AM96" s="12"/>
    </row>
    <row r="97" spans="9:39" x14ac:dyDescent="0.3">
      <c r="I97" s="12"/>
      <c r="N97" s="12"/>
      <c r="S97" s="12"/>
      <c r="X97" s="12"/>
      <c r="AM97" s="12"/>
    </row>
    <row r="98" spans="9:39" x14ac:dyDescent="0.3">
      <c r="I98" s="12"/>
      <c r="N98" s="12"/>
      <c r="S98" s="12"/>
      <c r="X98" s="12"/>
      <c r="AM98" s="12"/>
    </row>
    <row r="99" spans="9:39" x14ac:dyDescent="0.3">
      <c r="I99" s="12"/>
      <c r="N99" s="12"/>
      <c r="S99" s="12"/>
      <c r="X99" s="12"/>
      <c r="AM99" s="12"/>
    </row>
    <row r="100" spans="9:39" x14ac:dyDescent="0.3">
      <c r="I100" s="12"/>
      <c r="N100" s="12"/>
      <c r="S100" s="12"/>
      <c r="X100" s="12"/>
      <c r="AM100" s="12"/>
    </row>
    <row r="101" spans="9:39" x14ac:dyDescent="0.3">
      <c r="I101" s="12"/>
      <c r="N101" s="12"/>
      <c r="S101" s="12"/>
      <c r="X101" s="12"/>
      <c r="AM101" s="12"/>
    </row>
    <row r="102" spans="9:39" x14ac:dyDescent="0.3">
      <c r="I102" s="12"/>
      <c r="N102" s="12"/>
      <c r="S102" s="12"/>
      <c r="X102" s="12"/>
      <c r="AM102" s="12"/>
    </row>
    <row r="103" spans="9:39" x14ac:dyDescent="0.3">
      <c r="I103" s="12"/>
      <c r="N103" s="12"/>
      <c r="S103" s="12"/>
      <c r="X103" s="12"/>
      <c r="AM103" s="12"/>
    </row>
    <row r="104" spans="9:39" x14ac:dyDescent="0.3">
      <c r="I104" s="12"/>
      <c r="N104" s="12"/>
      <c r="S104" s="12"/>
      <c r="X104" s="12"/>
      <c r="AM104" s="12"/>
    </row>
    <row r="105" spans="9:39" x14ac:dyDescent="0.3">
      <c r="I105" s="12"/>
      <c r="N105" s="12"/>
      <c r="S105" s="12"/>
      <c r="X105" s="12"/>
      <c r="AM105" s="12"/>
    </row>
    <row r="106" spans="9:39" x14ac:dyDescent="0.3">
      <c r="I106" s="12"/>
      <c r="N106" s="12"/>
      <c r="S106" s="12"/>
      <c r="X106" s="12"/>
      <c r="AM106" s="12"/>
    </row>
    <row r="107" spans="9:39" x14ac:dyDescent="0.3">
      <c r="I107" s="12"/>
      <c r="N107" s="12"/>
      <c r="S107" s="12"/>
      <c r="X107" s="12"/>
      <c r="AM107" s="12"/>
    </row>
    <row r="108" spans="9:39" x14ac:dyDescent="0.3">
      <c r="I108" s="12"/>
      <c r="N108" s="12"/>
      <c r="S108" s="12"/>
      <c r="X108" s="12"/>
      <c r="AM108" s="12"/>
    </row>
    <row r="109" spans="9:39" x14ac:dyDescent="0.3">
      <c r="I109" s="12"/>
      <c r="N109" s="12"/>
      <c r="S109" s="12"/>
      <c r="X109" s="12"/>
      <c r="AM109" s="12"/>
    </row>
    <row r="110" spans="9:39" x14ac:dyDescent="0.3">
      <c r="I110" s="12"/>
      <c r="N110" s="12"/>
      <c r="S110" s="12"/>
      <c r="X110" s="12"/>
      <c r="AM110" s="12"/>
    </row>
    <row r="111" spans="9:39" x14ac:dyDescent="0.3">
      <c r="I111" s="12"/>
      <c r="N111" s="12"/>
      <c r="S111" s="12"/>
      <c r="X111" s="12"/>
      <c r="AM111" s="12"/>
    </row>
    <row r="112" spans="9:39" x14ac:dyDescent="0.3">
      <c r="I112" s="12"/>
      <c r="N112" s="12"/>
      <c r="S112" s="12"/>
      <c r="X112" s="12"/>
      <c r="AM112" s="12"/>
    </row>
    <row r="113" spans="9:39" x14ac:dyDescent="0.3">
      <c r="I113" s="12"/>
      <c r="N113" s="12"/>
      <c r="S113" s="12"/>
      <c r="X113" s="12"/>
      <c r="AM113" s="12"/>
    </row>
    <row r="114" spans="9:39" x14ac:dyDescent="0.3">
      <c r="I114" s="12"/>
      <c r="N114" s="12"/>
      <c r="S114" s="12"/>
      <c r="X114" s="12"/>
      <c r="AM114" s="12"/>
    </row>
    <row r="115" spans="9:39" x14ac:dyDescent="0.3">
      <c r="I115" s="12"/>
      <c r="N115" s="12"/>
      <c r="S115" s="12"/>
      <c r="X115" s="12"/>
      <c r="AM115" s="12"/>
    </row>
    <row r="116" spans="9:39" x14ac:dyDescent="0.3">
      <c r="I116" s="12"/>
      <c r="N116" s="12"/>
      <c r="S116" s="12"/>
      <c r="X116" s="12"/>
      <c r="AM116" s="12"/>
    </row>
    <row r="117" spans="9:39" x14ac:dyDescent="0.3">
      <c r="I117" s="12"/>
      <c r="N117" s="12"/>
      <c r="S117" s="12"/>
      <c r="X117" s="12"/>
      <c r="AM117" s="12"/>
    </row>
    <row r="118" spans="9:39" x14ac:dyDescent="0.3">
      <c r="I118" s="12"/>
      <c r="N118" s="12"/>
      <c r="S118" s="12"/>
      <c r="X118" s="12"/>
      <c r="AM118" s="12"/>
    </row>
    <row r="119" spans="9:39" x14ac:dyDescent="0.3">
      <c r="I119" s="12"/>
      <c r="N119" s="12"/>
      <c r="S119" s="12"/>
      <c r="X119" s="12"/>
      <c r="AM119" s="12"/>
    </row>
    <row r="120" spans="9:39" x14ac:dyDescent="0.3">
      <c r="I120" s="12"/>
      <c r="N120" s="12"/>
      <c r="S120" s="12"/>
      <c r="X120" s="12"/>
      <c r="AM120" s="12"/>
    </row>
    <row r="121" spans="9:39" x14ac:dyDescent="0.3">
      <c r="I121" s="12"/>
      <c r="N121" s="12"/>
      <c r="S121" s="12"/>
      <c r="X121" s="12"/>
      <c r="AM121" s="12"/>
    </row>
    <row r="122" spans="9:39" x14ac:dyDescent="0.3">
      <c r="I122" s="12"/>
      <c r="N122" s="12"/>
      <c r="S122" s="12"/>
      <c r="X122" s="12"/>
      <c r="AM122" s="12"/>
    </row>
    <row r="123" spans="9:39" x14ac:dyDescent="0.3">
      <c r="I123" s="12"/>
      <c r="N123" s="12"/>
      <c r="S123" s="12"/>
      <c r="X123" s="12"/>
      <c r="AM123" s="12"/>
    </row>
    <row r="124" spans="9:39" x14ac:dyDescent="0.3">
      <c r="I124" s="12"/>
      <c r="N124" s="12"/>
      <c r="S124" s="12"/>
      <c r="X124" s="12"/>
      <c r="AM124" s="12"/>
    </row>
    <row r="125" spans="9:39" x14ac:dyDescent="0.3">
      <c r="I125" s="12"/>
      <c r="N125" s="12"/>
      <c r="S125" s="12"/>
      <c r="X125" s="12"/>
      <c r="AM125" s="12"/>
    </row>
    <row r="126" spans="9:39" x14ac:dyDescent="0.3">
      <c r="I126" s="12"/>
      <c r="N126" s="12"/>
      <c r="S126" s="12"/>
      <c r="X126" s="12"/>
      <c r="AM126" s="12"/>
    </row>
    <row r="127" spans="9:39" x14ac:dyDescent="0.3">
      <c r="I127" s="12"/>
      <c r="N127" s="12"/>
      <c r="S127" s="12"/>
      <c r="X127" s="12"/>
      <c r="AM127" s="12"/>
    </row>
    <row r="128" spans="9:39" x14ac:dyDescent="0.3">
      <c r="I128" s="12"/>
      <c r="N128" s="12"/>
      <c r="S128" s="12"/>
      <c r="X128" s="12"/>
      <c r="AM128" s="12"/>
    </row>
    <row r="129" spans="9:39" x14ac:dyDescent="0.3">
      <c r="I129" s="12"/>
      <c r="N129" s="12"/>
      <c r="S129" s="12"/>
      <c r="X129" s="12"/>
      <c r="AM129" s="12"/>
    </row>
    <row r="130" spans="9:39" x14ac:dyDescent="0.3">
      <c r="I130" s="12"/>
      <c r="N130" s="12"/>
      <c r="S130" s="12"/>
      <c r="X130" s="12"/>
      <c r="AM130" s="12"/>
    </row>
    <row r="131" spans="9:39" x14ac:dyDescent="0.3">
      <c r="I131" s="12"/>
      <c r="N131" s="12"/>
      <c r="S131" s="12"/>
      <c r="X131" s="12"/>
      <c r="AM131" s="12"/>
    </row>
    <row r="132" spans="9:39" x14ac:dyDescent="0.3">
      <c r="I132" s="12"/>
      <c r="N132" s="12"/>
      <c r="S132" s="12"/>
      <c r="X132" s="12"/>
      <c r="AM132" s="12"/>
    </row>
    <row r="133" spans="9:39" x14ac:dyDescent="0.3">
      <c r="I133" s="12"/>
      <c r="N133" s="12"/>
      <c r="S133" s="12"/>
      <c r="X133" s="12"/>
      <c r="AM133" s="12"/>
    </row>
    <row r="134" spans="9:39" x14ac:dyDescent="0.3">
      <c r="I134" s="12"/>
      <c r="N134" s="12"/>
      <c r="S134" s="12"/>
      <c r="X134" s="12"/>
      <c r="AM134" s="12"/>
    </row>
    <row r="135" spans="9:39" x14ac:dyDescent="0.3">
      <c r="I135" s="12"/>
      <c r="N135" s="12"/>
      <c r="S135" s="12"/>
      <c r="X135" s="12"/>
      <c r="AM135" s="12"/>
    </row>
    <row r="136" spans="9:39" x14ac:dyDescent="0.3">
      <c r="I136" s="12"/>
      <c r="N136" s="12"/>
      <c r="S136" s="12"/>
      <c r="X136" s="12"/>
      <c r="AM136" s="12"/>
    </row>
    <row r="137" spans="9:39" x14ac:dyDescent="0.3">
      <c r="I137" s="12"/>
      <c r="N137" s="12"/>
      <c r="S137" s="12"/>
      <c r="X137" s="12"/>
      <c r="AM137" s="12"/>
    </row>
    <row r="138" spans="9:39" x14ac:dyDescent="0.3">
      <c r="I138" s="12"/>
      <c r="N138" s="12"/>
      <c r="S138" s="12"/>
      <c r="X138" s="12"/>
      <c r="AM138" s="12"/>
    </row>
    <row r="139" spans="9:39" x14ac:dyDescent="0.3">
      <c r="I139" s="12"/>
      <c r="N139" s="12"/>
      <c r="S139" s="12"/>
      <c r="X139" s="12"/>
      <c r="AM139" s="12"/>
    </row>
    <row r="140" spans="9:39" x14ac:dyDescent="0.3">
      <c r="I140" s="12"/>
      <c r="N140" s="12"/>
      <c r="S140" s="12"/>
      <c r="X140" s="12"/>
      <c r="AM140" s="12"/>
    </row>
    <row r="141" spans="9:39" x14ac:dyDescent="0.3">
      <c r="I141" s="12"/>
      <c r="N141" s="12"/>
      <c r="S141" s="12"/>
      <c r="X141" s="12"/>
      <c r="AM141" s="12"/>
    </row>
    <row r="142" spans="9:39" x14ac:dyDescent="0.3">
      <c r="I142" s="12"/>
      <c r="N142" s="12"/>
      <c r="S142" s="12"/>
      <c r="X142" s="12"/>
      <c r="AM142" s="12"/>
    </row>
    <row r="143" spans="9:39" x14ac:dyDescent="0.3">
      <c r="I143" s="12"/>
      <c r="N143" s="12"/>
      <c r="S143" s="12"/>
      <c r="X143" s="12"/>
      <c r="AM143" s="12"/>
    </row>
    <row r="144" spans="9:39" x14ac:dyDescent="0.3">
      <c r="I144" s="12"/>
      <c r="N144" s="12"/>
      <c r="S144" s="12"/>
      <c r="X144" s="12"/>
      <c r="AM144" s="12"/>
    </row>
    <row r="145" spans="9:39" x14ac:dyDescent="0.3">
      <c r="I145" s="12"/>
      <c r="N145" s="12"/>
      <c r="S145" s="12"/>
      <c r="X145" s="12"/>
      <c r="AM145" s="12"/>
    </row>
    <row r="146" spans="9:39" x14ac:dyDescent="0.3">
      <c r="I146" s="12"/>
      <c r="N146" s="12"/>
      <c r="S146" s="12"/>
      <c r="X146" s="12"/>
      <c r="AM146" s="12"/>
    </row>
    <row r="147" spans="9:39" x14ac:dyDescent="0.3">
      <c r="I147" s="12"/>
      <c r="N147" s="12"/>
      <c r="S147" s="12"/>
      <c r="X147" s="12"/>
      <c r="AM147" s="12"/>
    </row>
    <row r="148" spans="9:39" x14ac:dyDescent="0.3">
      <c r="I148" s="12"/>
      <c r="N148" s="12"/>
      <c r="S148" s="12"/>
      <c r="X148" s="12"/>
      <c r="AM148" s="12"/>
    </row>
    <row r="149" spans="9:39" x14ac:dyDescent="0.3">
      <c r="I149" s="12"/>
      <c r="N149" s="12"/>
      <c r="S149" s="12"/>
      <c r="X149" s="12"/>
      <c r="AM149" s="12"/>
    </row>
    <row r="150" spans="9:39" x14ac:dyDescent="0.3">
      <c r="I150" s="12"/>
      <c r="N150" s="12"/>
      <c r="S150" s="12"/>
      <c r="X150" s="12"/>
      <c r="AM150" s="12"/>
    </row>
    <row r="151" spans="9:39" x14ac:dyDescent="0.3">
      <c r="I151" s="12"/>
      <c r="N151" s="12"/>
      <c r="S151" s="12"/>
      <c r="X151" s="12"/>
      <c r="AM151" s="12"/>
    </row>
    <row r="152" spans="9:39" x14ac:dyDescent="0.3">
      <c r="I152" s="12"/>
      <c r="N152" s="12"/>
      <c r="S152" s="12"/>
      <c r="X152" s="12"/>
      <c r="AM152" s="12"/>
    </row>
    <row r="153" spans="9:39" x14ac:dyDescent="0.3">
      <c r="I153" s="12"/>
      <c r="N153" s="12"/>
      <c r="S153" s="12"/>
      <c r="X153" s="12"/>
      <c r="AM153" s="12"/>
    </row>
    <row r="154" spans="9:39" x14ac:dyDescent="0.3">
      <c r="I154" s="12"/>
      <c r="N154" s="12"/>
      <c r="S154" s="12"/>
      <c r="X154" s="12"/>
      <c r="AM154" s="12"/>
    </row>
    <row r="155" spans="9:39" x14ac:dyDescent="0.3">
      <c r="I155" s="12"/>
      <c r="N155" s="12"/>
      <c r="S155" s="12"/>
      <c r="X155" s="12"/>
      <c r="AM155" s="12"/>
    </row>
    <row r="156" spans="9:39" x14ac:dyDescent="0.3">
      <c r="I156" s="12"/>
      <c r="N156" s="12"/>
      <c r="S156" s="12"/>
      <c r="X156" s="12"/>
      <c r="AM156" s="12"/>
    </row>
    <row r="157" spans="9:39" x14ac:dyDescent="0.3">
      <c r="I157" s="12"/>
      <c r="N157" s="12"/>
      <c r="S157" s="12"/>
      <c r="X157" s="12"/>
      <c r="AM157" s="12"/>
    </row>
    <row r="158" spans="9:39" x14ac:dyDescent="0.3">
      <c r="I158" s="12"/>
      <c r="N158" s="12"/>
      <c r="S158" s="12"/>
      <c r="X158" s="12"/>
      <c r="AM158" s="12"/>
    </row>
    <row r="159" spans="9:39" x14ac:dyDescent="0.3">
      <c r="I159" s="12"/>
      <c r="N159" s="12"/>
      <c r="S159" s="12"/>
      <c r="X159" s="12"/>
      <c r="AM159" s="12"/>
    </row>
    <row r="160" spans="9:39" x14ac:dyDescent="0.3">
      <c r="I160" s="12"/>
      <c r="N160" s="12"/>
      <c r="S160" s="12"/>
      <c r="X160" s="12"/>
      <c r="AM160" s="12"/>
    </row>
    <row r="161" spans="9:39" x14ac:dyDescent="0.3">
      <c r="I161" s="12"/>
      <c r="N161" s="12"/>
      <c r="S161" s="12"/>
      <c r="X161" s="12"/>
      <c r="AM161" s="12"/>
    </row>
    <row r="162" spans="9:39" x14ac:dyDescent="0.3">
      <c r="I162" s="12"/>
      <c r="N162" s="12"/>
      <c r="S162" s="12"/>
      <c r="X162" s="12"/>
      <c r="AM162" s="12"/>
    </row>
    <row r="163" spans="9:39" x14ac:dyDescent="0.3">
      <c r="I163" s="12"/>
      <c r="N163" s="12"/>
      <c r="S163" s="12"/>
      <c r="X163" s="12"/>
      <c r="AM163" s="12"/>
    </row>
    <row r="164" spans="9:39" x14ac:dyDescent="0.3">
      <c r="I164" s="12"/>
      <c r="N164" s="12"/>
      <c r="S164" s="12"/>
      <c r="X164" s="12"/>
      <c r="AM164" s="12"/>
    </row>
    <row r="165" spans="9:39" x14ac:dyDescent="0.3">
      <c r="I165" s="12"/>
      <c r="N165" s="12"/>
      <c r="S165" s="12"/>
      <c r="X165" s="12"/>
      <c r="AM165" s="12"/>
    </row>
    <row r="166" spans="9:39" x14ac:dyDescent="0.3">
      <c r="I166" s="12"/>
      <c r="N166" s="12"/>
      <c r="S166" s="12"/>
      <c r="X166" s="12"/>
      <c r="AM166" s="12"/>
    </row>
    <row r="167" spans="9:39" x14ac:dyDescent="0.3">
      <c r="I167" s="12"/>
      <c r="N167" s="12"/>
      <c r="S167" s="12"/>
      <c r="X167" s="12"/>
      <c r="AM167" s="12"/>
    </row>
    <row r="168" spans="9:39" x14ac:dyDescent="0.3">
      <c r="I168" s="12"/>
      <c r="N168" s="12"/>
      <c r="S168" s="12"/>
      <c r="X168" s="12"/>
      <c r="AM168" s="12"/>
    </row>
    <row r="169" spans="9:39" x14ac:dyDescent="0.3">
      <c r="I169" s="12"/>
      <c r="N169" s="12"/>
      <c r="S169" s="12"/>
      <c r="X169" s="12"/>
      <c r="AM169" s="12"/>
    </row>
    <row r="170" spans="9:39" x14ac:dyDescent="0.3">
      <c r="I170" s="12"/>
      <c r="N170" s="12"/>
      <c r="S170" s="12"/>
      <c r="X170" s="12"/>
      <c r="AM170" s="12"/>
    </row>
    <row r="171" spans="9:39" x14ac:dyDescent="0.3">
      <c r="I171" s="12"/>
      <c r="N171" s="12"/>
      <c r="S171" s="12"/>
      <c r="X171" s="12"/>
      <c r="AM171" s="12"/>
    </row>
    <row r="172" spans="9:39" x14ac:dyDescent="0.3">
      <c r="I172" s="12"/>
      <c r="N172" s="12"/>
      <c r="S172" s="12"/>
      <c r="X172" s="12"/>
      <c r="AM172" s="12"/>
    </row>
    <row r="173" spans="9:39" x14ac:dyDescent="0.3">
      <c r="I173" s="12"/>
      <c r="N173" s="12"/>
      <c r="S173" s="12"/>
      <c r="X173" s="12"/>
      <c r="AM173" s="12"/>
    </row>
    <row r="174" spans="9:39" x14ac:dyDescent="0.3">
      <c r="I174" s="12"/>
      <c r="N174" s="12"/>
      <c r="S174" s="12"/>
      <c r="X174" s="12"/>
      <c r="AM174" s="12"/>
    </row>
    <row r="175" spans="9:39" x14ac:dyDescent="0.3">
      <c r="I175" s="12"/>
      <c r="N175" s="12"/>
      <c r="S175" s="12"/>
      <c r="X175" s="12"/>
      <c r="AM175" s="12"/>
    </row>
    <row r="176" spans="9:39" x14ac:dyDescent="0.3">
      <c r="I176" s="12"/>
      <c r="N176" s="12"/>
      <c r="S176" s="12"/>
      <c r="X176" s="12"/>
      <c r="AM176" s="12"/>
    </row>
    <row r="177" spans="9:39" x14ac:dyDescent="0.3">
      <c r="I177" s="12"/>
      <c r="N177" s="12"/>
      <c r="S177" s="12"/>
      <c r="X177" s="12"/>
      <c r="AM177" s="12"/>
    </row>
    <row r="178" spans="9:39" x14ac:dyDescent="0.3">
      <c r="I178" s="12"/>
      <c r="N178" s="12"/>
      <c r="S178" s="12"/>
      <c r="X178" s="12"/>
      <c r="AM178" s="12"/>
    </row>
    <row r="179" spans="9:39" x14ac:dyDescent="0.3">
      <c r="I179" s="12"/>
      <c r="N179" s="12"/>
      <c r="S179" s="12"/>
      <c r="X179" s="12"/>
      <c r="AM179" s="12"/>
    </row>
    <row r="180" spans="9:39" x14ac:dyDescent="0.3">
      <c r="I180" s="12"/>
      <c r="N180" s="12"/>
      <c r="S180" s="12"/>
      <c r="X180" s="12"/>
      <c r="AM180" s="12"/>
    </row>
    <row r="181" spans="9:39" x14ac:dyDescent="0.3">
      <c r="I181" s="12"/>
      <c r="N181" s="12"/>
      <c r="S181" s="12"/>
      <c r="X181" s="12"/>
      <c r="AM181" s="12"/>
    </row>
    <row r="182" spans="9:39" x14ac:dyDescent="0.3">
      <c r="I182" s="12"/>
      <c r="N182" s="12"/>
      <c r="S182" s="12"/>
      <c r="X182" s="12"/>
      <c r="AM182" s="12"/>
    </row>
    <row r="183" spans="9:39" x14ac:dyDescent="0.3">
      <c r="I183" s="12"/>
      <c r="N183" s="12"/>
      <c r="S183" s="12"/>
      <c r="X183" s="12"/>
      <c r="AM183" s="12"/>
    </row>
    <row r="184" spans="9:39" x14ac:dyDescent="0.3">
      <c r="I184" s="12"/>
      <c r="N184" s="12"/>
      <c r="S184" s="12"/>
      <c r="X184" s="12"/>
      <c r="AM184" s="12"/>
    </row>
    <row r="185" spans="9:39" x14ac:dyDescent="0.3">
      <c r="I185" s="12"/>
      <c r="N185" s="12"/>
      <c r="S185" s="12"/>
      <c r="X185" s="12"/>
      <c r="AM185" s="12"/>
    </row>
    <row r="186" spans="9:39" x14ac:dyDescent="0.3">
      <c r="I186" s="12"/>
      <c r="N186" s="12"/>
      <c r="S186" s="12"/>
      <c r="X186" s="12"/>
      <c r="AM186" s="12"/>
    </row>
    <row r="187" spans="9:39" x14ac:dyDescent="0.3">
      <c r="I187" s="12"/>
      <c r="N187" s="12"/>
      <c r="S187" s="12"/>
      <c r="X187" s="12"/>
      <c r="AM187" s="12"/>
    </row>
    <row r="188" spans="9:39" x14ac:dyDescent="0.3">
      <c r="I188" s="12"/>
      <c r="N188" s="12"/>
      <c r="S188" s="12"/>
      <c r="X188" s="12"/>
      <c r="AM188" s="12"/>
    </row>
    <row r="189" spans="9:39" x14ac:dyDescent="0.3">
      <c r="I189" s="12"/>
      <c r="N189" s="12"/>
      <c r="S189" s="12"/>
      <c r="X189" s="12"/>
      <c r="AM189" s="12"/>
    </row>
    <row r="190" spans="9:39" x14ac:dyDescent="0.3">
      <c r="I190" s="12"/>
      <c r="N190" s="12"/>
      <c r="S190" s="12"/>
      <c r="X190" s="12"/>
      <c r="AM190" s="12"/>
    </row>
    <row r="191" spans="9:39" x14ac:dyDescent="0.3">
      <c r="I191" s="12"/>
      <c r="N191" s="12"/>
      <c r="S191" s="12"/>
      <c r="X191" s="12"/>
      <c r="AM191" s="12"/>
    </row>
    <row r="192" spans="9:39" x14ac:dyDescent="0.3">
      <c r="I192" s="12"/>
      <c r="N192" s="12"/>
      <c r="S192" s="12"/>
      <c r="X192" s="12"/>
      <c r="AM192" s="12"/>
    </row>
    <row r="193" spans="9:39" x14ac:dyDescent="0.3">
      <c r="I193" s="12"/>
      <c r="N193" s="12"/>
      <c r="S193" s="12"/>
      <c r="X193" s="12"/>
      <c r="AM193" s="12"/>
    </row>
    <row r="194" spans="9:39" x14ac:dyDescent="0.3">
      <c r="I194" s="12"/>
      <c r="N194" s="12"/>
      <c r="S194" s="12"/>
      <c r="X194" s="12"/>
      <c r="AM194" s="12"/>
    </row>
    <row r="195" spans="9:39" x14ac:dyDescent="0.3">
      <c r="I195" s="12"/>
      <c r="N195" s="12"/>
      <c r="S195" s="12"/>
      <c r="X195" s="12"/>
      <c r="AM195" s="12"/>
    </row>
    <row r="196" spans="9:39" x14ac:dyDescent="0.3">
      <c r="I196" s="12"/>
      <c r="N196" s="12"/>
      <c r="S196" s="12"/>
      <c r="X196" s="12"/>
      <c r="AM196" s="12"/>
    </row>
    <row r="197" spans="9:39" x14ac:dyDescent="0.3">
      <c r="I197" s="12"/>
      <c r="N197" s="12"/>
      <c r="S197" s="12"/>
      <c r="X197" s="12"/>
      <c r="AM197" s="12"/>
    </row>
    <row r="198" spans="9:39" x14ac:dyDescent="0.3">
      <c r="I198" s="12"/>
      <c r="N198" s="12"/>
      <c r="S198" s="12"/>
      <c r="X198" s="12"/>
      <c r="AM198" s="12"/>
    </row>
    <row r="199" spans="9:39" x14ac:dyDescent="0.3">
      <c r="I199" s="12"/>
      <c r="N199" s="12"/>
      <c r="S199" s="12"/>
      <c r="X199" s="12"/>
      <c r="AM199" s="12"/>
    </row>
    <row r="200" spans="9:39" x14ac:dyDescent="0.3">
      <c r="I200" s="12"/>
      <c r="N200" s="12"/>
      <c r="S200" s="12"/>
      <c r="X200" s="12"/>
      <c r="AM200" s="12"/>
    </row>
    <row r="201" spans="9:39" x14ac:dyDescent="0.3">
      <c r="I201" s="12"/>
      <c r="N201" s="12"/>
      <c r="S201" s="12"/>
      <c r="X201" s="12"/>
      <c r="AM201" s="12"/>
    </row>
    <row r="202" spans="9:39" x14ac:dyDescent="0.3">
      <c r="I202" s="12"/>
      <c r="N202" s="12"/>
      <c r="S202" s="12"/>
      <c r="X202" s="12"/>
      <c r="AM202" s="12"/>
    </row>
    <row r="203" spans="9:39" x14ac:dyDescent="0.3">
      <c r="I203" s="12"/>
      <c r="N203" s="12"/>
      <c r="S203" s="12"/>
      <c r="X203" s="12"/>
      <c r="AM203" s="12"/>
    </row>
    <row r="204" spans="9:39" x14ac:dyDescent="0.3">
      <c r="I204" s="12"/>
      <c r="N204" s="12"/>
      <c r="S204" s="12"/>
      <c r="X204" s="12"/>
      <c r="AM204" s="12"/>
    </row>
    <row r="205" spans="9:39" x14ac:dyDescent="0.3">
      <c r="I205" s="12"/>
      <c r="N205" s="12"/>
      <c r="S205" s="12"/>
      <c r="X205" s="12"/>
      <c r="AM205" s="12"/>
    </row>
    <row r="206" spans="9:39" x14ac:dyDescent="0.3">
      <c r="I206" s="12"/>
      <c r="N206" s="12"/>
      <c r="S206" s="12"/>
      <c r="X206" s="12"/>
      <c r="AM206" s="12"/>
    </row>
    <row r="207" spans="9:39" x14ac:dyDescent="0.3">
      <c r="I207" s="12"/>
      <c r="N207" s="12"/>
      <c r="S207" s="12"/>
      <c r="X207" s="12"/>
      <c r="AM207" s="12"/>
    </row>
    <row r="208" spans="9:39" x14ac:dyDescent="0.3">
      <c r="I208" s="12"/>
      <c r="N208" s="12"/>
      <c r="S208" s="12"/>
      <c r="X208" s="12"/>
      <c r="AM208" s="12"/>
    </row>
    <row r="209" spans="9:39" x14ac:dyDescent="0.3">
      <c r="I209" s="12"/>
      <c r="N209" s="12"/>
      <c r="S209" s="12"/>
      <c r="X209" s="12"/>
      <c r="AM209" s="12"/>
    </row>
    <row r="210" spans="9:39" x14ac:dyDescent="0.3">
      <c r="I210" s="12"/>
      <c r="N210" s="12"/>
      <c r="S210" s="12"/>
      <c r="X210" s="12"/>
      <c r="AM210" s="12"/>
    </row>
    <row r="211" spans="9:39" x14ac:dyDescent="0.3">
      <c r="I211" s="12"/>
      <c r="N211" s="12"/>
      <c r="S211" s="12"/>
      <c r="X211" s="12"/>
      <c r="AM211" s="12"/>
    </row>
    <row r="212" spans="9:39" x14ac:dyDescent="0.3">
      <c r="I212" s="12"/>
      <c r="N212" s="12"/>
      <c r="S212" s="12"/>
      <c r="X212" s="12"/>
      <c r="AM212" s="12"/>
    </row>
    <row r="213" spans="9:39" x14ac:dyDescent="0.3">
      <c r="I213" s="12"/>
      <c r="N213" s="12"/>
      <c r="S213" s="12"/>
      <c r="X213" s="12"/>
      <c r="AM213" s="12"/>
    </row>
    <row r="214" spans="9:39" x14ac:dyDescent="0.3">
      <c r="I214" s="12"/>
      <c r="N214" s="12"/>
      <c r="S214" s="12"/>
      <c r="X214" s="12"/>
      <c r="AM214" s="12"/>
    </row>
    <row r="215" spans="9:39" x14ac:dyDescent="0.3">
      <c r="I215" s="12"/>
      <c r="N215" s="12"/>
      <c r="S215" s="12"/>
      <c r="X215" s="12"/>
      <c r="AM215" s="12"/>
    </row>
    <row r="216" spans="9:39" x14ac:dyDescent="0.3">
      <c r="I216" s="12"/>
      <c r="N216" s="12"/>
      <c r="S216" s="12"/>
      <c r="X216" s="12"/>
      <c r="AM216" s="12"/>
    </row>
    <row r="217" spans="9:39" x14ac:dyDescent="0.3">
      <c r="I217" s="12"/>
      <c r="N217" s="12"/>
      <c r="S217" s="12"/>
      <c r="X217" s="12"/>
      <c r="AM217" s="12"/>
    </row>
    <row r="218" spans="9:39" x14ac:dyDescent="0.3">
      <c r="I218" s="12"/>
      <c r="N218" s="12"/>
      <c r="S218" s="12"/>
      <c r="X218" s="12"/>
      <c r="AM218" s="12"/>
    </row>
    <row r="219" spans="9:39" x14ac:dyDescent="0.3">
      <c r="I219" s="12"/>
      <c r="N219" s="12"/>
      <c r="S219" s="12"/>
      <c r="X219" s="12"/>
      <c r="AM219" s="12"/>
    </row>
    <row r="220" spans="9:39" x14ac:dyDescent="0.3">
      <c r="I220" s="12"/>
      <c r="N220" s="12"/>
      <c r="S220" s="12"/>
      <c r="X220" s="12"/>
      <c r="AM220" s="12"/>
    </row>
    <row r="221" spans="9:39" x14ac:dyDescent="0.3">
      <c r="I221" s="12"/>
      <c r="N221" s="12"/>
      <c r="S221" s="12"/>
      <c r="X221" s="12"/>
      <c r="AM221" s="12"/>
    </row>
    <row r="222" spans="9:39" x14ac:dyDescent="0.3">
      <c r="I222" s="12"/>
      <c r="N222" s="12"/>
      <c r="S222" s="12"/>
      <c r="X222" s="12"/>
      <c r="AM222" s="12"/>
    </row>
    <row r="223" spans="9:39" x14ac:dyDescent="0.3">
      <c r="I223" s="12"/>
      <c r="N223" s="12"/>
      <c r="S223" s="12"/>
      <c r="X223" s="12"/>
      <c r="AM223" s="12"/>
    </row>
    <row r="224" spans="9:39" x14ac:dyDescent="0.3">
      <c r="I224" s="12"/>
      <c r="N224" s="12"/>
      <c r="S224" s="12"/>
      <c r="X224" s="12"/>
      <c r="AM224" s="12"/>
    </row>
    <row r="225" spans="9:39" x14ac:dyDescent="0.3">
      <c r="I225" s="12"/>
      <c r="N225" s="12"/>
      <c r="S225" s="12"/>
      <c r="X225" s="12"/>
      <c r="AM225" s="12"/>
    </row>
    <row r="226" spans="9:39" x14ac:dyDescent="0.3">
      <c r="I226" s="12"/>
      <c r="N226" s="12"/>
      <c r="S226" s="12"/>
      <c r="X226" s="12"/>
      <c r="AM226" s="12"/>
    </row>
    <row r="227" spans="9:39" x14ac:dyDescent="0.3">
      <c r="I227" s="12"/>
      <c r="N227" s="12"/>
      <c r="S227" s="12"/>
      <c r="X227" s="12"/>
      <c r="AM227" s="12"/>
    </row>
    <row r="228" spans="9:39" x14ac:dyDescent="0.3">
      <c r="I228" s="12"/>
      <c r="N228" s="12"/>
      <c r="S228" s="12"/>
      <c r="X228" s="12"/>
      <c r="AM228" s="12"/>
    </row>
    <row r="229" spans="9:39" x14ac:dyDescent="0.3">
      <c r="I229" s="12"/>
      <c r="N229" s="12"/>
      <c r="S229" s="12"/>
      <c r="X229" s="12"/>
      <c r="AM229" s="12"/>
    </row>
    <row r="230" spans="9:39" x14ac:dyDescent="0.3">
      <c r="I230" s="12"/>
      <c r="N230" s="12"/>
      <c r="S230" s="12"/>
      <c r="X230" s="12"/>
      <c r="AM230" s="12"/>
    </row>
    <row r="231" spans="9:39" x14ac:dyDescent="0.3">
      <c r="I231" s="12"/>
      <c r="N231" s="12"/>
      <c r="S231" s="12"/>
      <c r="X231" s="12"/>
      <c r="AM231" s="12"/>
    </row>
    <row r="232" spans="9:39" x14ac:dyDescent="0.3">
      <c r="I232" s="12"/>
      <c r="N232" s="12"/>
      <c r="S232" s="12"/>
      <c r="X232" s="12"/>
      <c r="AM232" s="12"/>
    </row>
    <row r="233" spans="9:39" x14ac:dyDescent="0.3">
      <c r="I233" s="12"/>
      <c r="N233" s="12"/>
      <c r="S233" s="12"/>
      <c r="X233" s="12"/>
      <c r="AM233" s="12"/>
    </row>
    <row r="234" spans="9:39" x14ac:dyDescent="0.3">
      <c r="I234" s="12"/>
      <c r="N234" s="12"/>
      <c r="S234" s="12"/>
      <c r="X234" s="12"/>
      <c r="AM234" s="12"/>
    </row>
    <row r="235" spans="9:39" x14ac:dyDescent="0.3">
      <c r="I235" s="12"/>
      <c r="N235" s="12"/>
      <c r="S235" s="12"/>
      <c r="X235" s="12"/>
      <c r="AM235" s="12"/>
    </row>
    <row r="236" spans="9:39" x14ac:dyDescent="0.3">
      <c r="I236" s="12"/>
      <c r="N236" s="12"/>
      <c r="S236" s="12"/>
      <c r="X236" s="12"/>
      <c r="AM236" s="12"/>
    </row>
    <row r="237" spans="9:39" x14ac:dyDescent="0.3">
      <c r="I237" s="12"/>
      <c r="N237" s="12"/>
      <c r="S237" s="12"/>
      <c r="X237" s="12"/>
      <c r="AM237" s="12"/>
    </row>
    <row r="238" spans="9:39" x14ac:dyDescent="0.3">
      <c r="I238" s="12"/>
      <c r="N238" s="12"/>
      <c r="S238" s="12"/>
      <c r="X238" s="12"/>
      <c r="AM238" s="12"/>
    </row>
    <row r="239" spans="9:39" x14ac:dyDescent="0.3">
      <c r="I239" s="12"/>
      <c r="N239" s="12"/>
      <c r="S239" s="12"/>
      <c r="X239" s="12"/>
      <c r="AM239" s="12"/>
    </row>
    <row r="240" spans="9:39" x14ac:dyDescent="0.3">
      <c r="I240" s="12"/>
      <c r="N240" s="12"/>
      <c r="S240" s="12"/>
      <c r="X240" s="12"/>
      <c r="AM240" s="12"/>
    </row>
    <row r="241" spans="9:39" x14ac:dyDescent="0.3">
      <c r="I241" s="12"/>
      <c r="N241" s="12"/>
      <c r="S241" s="12"/>
      <c r="X241" s="12"/>
      <c r="AM241" s="12"/>
    </row>
    <row r="242" spans="9:39" x14ac:dyDescent="0.3">
      <c r="I242" s="12"/>
      <c r="N242" s="12"/>
      <c r="S242" s="12"/>
      <c r="X242" s="12"/>
      <c r="AM242" s="12"/>
    </row>
    <row r="243" spans="9:39" x14ac:dyDescent="0.3">
      <c r="I243" s="12"/>
      <c r="N243" s="12"/>
      <c r="S243" s="12"/>
      <c r="X243" s="12"/>
      <c r="AM243" s="12"/>
    </row>
    <row r="244" spans="9:39" x14ac:dyDescent="0.3">
      <c r="I244" s="12"/>
      <c r="N244" s="12"/>
      <c r="S244" s="12"/>
      <c r="X244" s="12"/>
      <c r="AM244" s="12"/>
    </row>
    <row r="245" spans="9:39" x14ac:dyDescent="0.3">
      <c r="I245" s="12"/>
      <c r="N245" s="12"/>
      <c r="S245" s="12"/>
      <c r="X245" s="12"/>
      <c r="AM245" s="12"/>
    </row>
    <row r="246" spans="9:39" x14ac:dyDescent="0.3">
      <c r="I246" s="12"/>
      <c r="N246" s="12"/>
      <c r="S246" s="12"/>
      <c r="X246" s="12"/>
      <c r="AM246" s="12"/>
    </row>
    <row r="247" spans="9:39" x14ac:dyDescent="0.3">
      <c r="I247" s="12"/>
      <c r="N247" s="12"/>
      <c r="S247" s="12"/>
      <c r="X247" s="12"/>
      <c r="AM247" s="12"/>
    </row>
    <row r="248" spans="9:39" x14ac:dyDescent="0.3">
      <c r="I248" s="12"/>
      <c r="N248" s="12"/>
      <c r="S248" s="12"/>
      <c r="X248" s="12"/>
      <c r="AM248" s="12"/>
    </row>
    <row r="249" spans="9:39" x14ac:dyDescent="0.3">
      <c r="I249" s="12"/>
      <c r="N249" s="12"/>
      <c r="S249" s="12"/>
      <c r="X249" s="12"/>
      <c r="AM249" s="12"/>
    </row>
    <row r="250" spans="9:39" x14ac:dyDescent="0.3">
      <c r="I250" s="12"/>
      <c r="N250" s="12"/>
      <c r="S250" s="12"/>
      <c r="X250" s="12"/>
      <c r="AM250" s="12"/>
    </row>
    <row r="251" spans="9:39" x14ac:dyDescent="0.3">
      <c r="I251" s="12"/>
      <c r="N251" s="12"/>
      <c r="S251" s="12"/>
      <c r="X251" s="12"/>
      <c r="AM251" s="12"/>
    </row>
    <row r="252" spans="9:39" x14ac:dyDescent="0.3">
      <c r="I252" s="12"/>
      <c r="N252" s="12"/>
      <c r="S252" s="12"/>
      <c r="X252" s="12"/>
      <c r="AM252" s="12"/>
    </row>
    <row r="253" spans="9:39" x14ac:dyDescent="0.3">
      <c r="I253" s="12"/>
      <c r="N253" s="12"/>
      <c r="S253" s="12"/>
      <c r="X253" s="12"/>
      <c r="AM253" s="12"/>
    </row>
    <row r="254" spans="9:39" x14ac:dyDescent="0.3">
      <c r="I254" s="12"/>
      <c r="N254" s="12"/>
      <c r="S254" s="12"/>
      <c r="X254" s="12"/>
      <c r="AM254" s="12"/>
    </row>
    <row r="255" spans="9:39" x14ac:dyDescent="0.3">
      <c r="I255" s="12"/>
      <c r="N255" s="12"/>
      <c r="S255" s="12"/>
      <c r="X255" s="12"/>
      <c r="AM255" s="12"/>
    </row>
    <row r="256" spans="9:39" x14ac:dyDescent="0.3">
      <c r="I256" s="12"/>
      <c r="N256" s="12"/>
      <c r="S256" s="12"/>
      <c r="X256" s="12"/>
      <c r="AM256" s="12"/>
    </row>
    <row r="257" spans="9:39" x14ac:dyDescent="0.3">
      <c r="I257" s="12"/>
      <c r="N257" s="12"/>
      <c r="S257" s="12"/>
      <c r="X257" s="12"/>
      <c r="AM257" s="12"/>
    </row>
    <row r="258" spans="9:39" x14ac:dyDescent="0.3">
      <c r="I258" s="12"/>
      <c r="N258" s="12"/>
      <c r="S258" s="12"/>
      <c r="X258" s="12"/>
      <c r="AM258" s="12"/>
    </row>
    <row r="259" spans="9:39" x14ac:dyDescent="0.3">
      <c r="I259" s="12"/>
      <c r="N259" s="12"/>
      <c r="S259" s="12"/>
      <c r="X259" s="12"/>
      <c r="AM259" s="12"/>
    </row>
    <row r="260" spans="9:39" x14ac:dyDescent="0.3">
      <c r="I260" s="12"/>
      <c r="N260" s="12"/>
      <c r="S260" s="12"/>
      <c r="X260" s="12"/>
      <c r="AM260" s="12"/>
    </row>
    <row r="261" spans="9:39" x14ac:dyDescent="0.3">
      <c r="I261" s="12"/>
      <c r="N261" s="12"/>
      <c r="S261" s="12"/>
      <c r="X261" s="12"/>
      <c r="AM261" s="12"/>
    </row>
    <row r="262" spans="9:39" x14ac:dyDescent="0.3">
      <c r="I262" s="12"/>
      <c r="N262" s="12"/>
      <c r="S262" s="12"/>
      <c r="X262" s="12"/>
      <c r="AM262" s="12"/>
    </row>
    <row r="263" spans="9:39" x14ac:dyDescent="0.3">
      <c r="I263" s="12"/>
      <c r="N263" s="12"/>
      <c r="S263" s="12"/>
      <c r="X263" s="12"/>
      <c r="AM263" s="12"/>
    </row>
    <row r="264" spans="9:39" x14ac:dyDescent="0.3">
      <c r="I264" s="12"/>
      <c r="N264" s="12"/>
      <c r="S264" s="12"/>
      <c r="X264" s="12"/>
      <c r="AM264" s="12"/>
    </row>
    <row r="265" spans="9:39" x14ac:dyDescent="0.3">
      <c r="I265" s="12"/>
      <c r="N265" s="12"/>
      <c r="S265" s="12"/>
      <c r="X265" s="12"/>
      <c r="AM265" s="12"/>
    </row>
    <row r="266" spans="9:39" x14ac:dyDescent="0.3">
      <c r="I266" s="12"/>
      <c r="N266" s="12"/>
      <c r="S266" s="12"/>
      <c r="X266" s="12"/>
      <c r="AM266" s="12"/>
    </row>
    <row r="267" spans="9:39" x14ac:dyDescent="0.3">
      <c r="I267" s="12"/>
      <c r="N267" s="12"/>
      <c r="S267" s="12"/>
      <c r="X267" s="12"/>
      <c r="AM267" s="12"/>
    </row>
    <row r="268" spans="9:39" x14ac:dyDescent="0.3">
      <c r="I268" s="12"/>
      <c r="N268" s="12"/>
      <c r="S268" s="12"/>
      <c r="X268" s="12"/>
      <c r="AM268" s="12"/>
    </row>
    <row r="269" spans="9:39" x14ac:dyDescent="0.3">
      <c r="I269" s="12"/>
      <c r="N269" s="12"/>
      <c r="S269" s="12"/>
      <c r="X269" s="12"/>
      <c r="AM269" s="12"/>
    </row>
    <row r="270" spans="9:39" x14ac:dyDescent="0.3">
      <c r="I270" s="12"/>
      <c r="N270" s="12"/>
      <c r="S270" s="12"/>
      <c r="X270" s="12"/>
      <c r="AM270" s="12"/>
    </row>
    <row r="271" spans="9:39" x14ac:dyDescent="0.3">
      <c r="I271" s="12"/>
      <c r="N271" s="12"/>
      <c r="S271" s="12"/>
      <c r="X271" s="12"/>
      <c r="AM271" s="12"/>
    </row>
    <row r="272" spans="9:39" x14ac:dyDescent="0.3">
      <c r="I272" s="12"/>
      <c r="N272" s="12"/>
      <c r="S272" s="12"/>
      <c r="X272" s="12"/>
      <c r="AM272" s="12"/>
    </row>
    <row r="273" spans="9:39" x14ac:dyDescent="0.3">
      <c r="I273" s="12"/>
      <c r="N273" s="12"/>
      <c r="S273" s="12"/>
      <c r="X273" s="12"/>
      <c r="AM273" s="12"/>
    </row>
    <row r="274" spans="9:39" x14ac:dyDescent="0.3">
      <c r="I274" s="12"/>
      <c r="N274" s="12"/>
      <c r="S274" s="12"/>
      <c r="X274" s="12"/>
      <c r="AM274" s="12"/>
    </row>
    <row r="275" spans="9:39" x14ac:dyDescent="0.3">
      <c r="I275" s="12"/>
      <c r="N275" s="12"/>
      <c r="S275" s="12"/>
      <c r="X275" s="12"/>
      <c r="AM275" s="12"/>
    </row>
    <row r="276" spans="9:39" x14ac:dyDescent="0.3">
      <c r="I276" s="12"/>
      <c r="N276" s="12"/>
      <c r="S276" s="12"/>
      <c r="X276" s="12"/>
      <c r="AM276" s="12"/>
    </row>
    <row r="277" spans="9:39" x14ac:dyDescent="0.3">
      <c r="I277" s="12"/>
      <c r="N277" s="12"/>
      <c r="S277" s="12"/>
      <c r="X277" s="12"/>
      <c r="AM277" s="12"/>
    </row>
    <row r="278" spans="9:39" x14ac:dyDescent="0.3">
      <c r="I278" s="12"/>
      <c r="N278" s="12"/>
      <c r="S278" s="12"/>
      <c r="X278" s="12"/>
      <c r="AM278" s="12"/>
    </row>
    <row r="279" spans="9:39" x14ac:dyDescent="0.3">
      <c r="I279" s="12"/>
      <c r="N279" s="12"/>
      <c r="S279" s="12"/>
      <c r="X279" s="12"/>
      <c r="AM279" s="12"/>
    </row>
    <row r="280" spans="9:39" x14ac:dyDescent="0.3">
      <c r="I280" s="12"/>
      <c r="N280" s="12"/>
      <c r="S280" s="12"/>
      <c r="X280" s="12"/>
      <c r="AM280" s="12"/>
    </row>
    <row r="281" spans="9:39" x14ac:dyDescent="0.3">
      <c r="I281" s="12"/>
      <c r="N281" s="12"/>
      <c r="S281" s="12"/>
      <c r="X281" s="12"/>
      <c r="AM281" s="12"/>
    </row>
    <row r="282" spans="9:39" x14ac:dyDescent="0.3">
      <c r="I282" s="12"/>
      <c r="N282" s="12"/>
      <c r="S282" s="12"/>
      <c r="X282" s="12"/>
      <c r="AM282" s="12"/>
    </row>
    <row r="283" spans="9:39" x14ac:dyDescent="0.3">
      <c r="I283" s="12"/>
      <c r="N283" s="12"/>
      <c r="S283" s="12"/>
      <c r="X283" s="12"/>
      <c r="AM283" s="12"/>
    </row>
    <row r="284" spans="9:39" x14ac:dyDescent="0.3">
      <c r="I284" s="12"/>
      <c r="N284" s="12"/>
      <c r="S284" s="12"/>
      <c r="X284" s="12"/>
      <c r="AM284" s="12"/>
    </row>
    <row r="285" spans="9:39" x14ac:dyDescent="0.3">
      <c r="I285" s="12"/>
      <c r="N285" s="12"/>
      <c r="S285" s="12"/>
      <c r="X285" s="12"/>
      <c r="AM285" s="12"/>
    </row>
    <row r="286" spans="9:39" x14ac:dyDescent="0.3">
      <c r="I286" s="12"/>
      <c r="N286" s="12"/>
      <c r="S286" s="12"/>
      <c r="X286" s="12"/>
      <c r="AM286" s="12"/>
    </row>
    <row r="287" spans="9:39" x14ac:dyDescent="0.3">
      <c r="I287" s="12"/>
      <c r="N287" s="12"/>
      <c r="S287" s="12"/>
      <c r="X287" s="12"/>
      <c r="AM287" s="12"/>
    </row>
    <row r="288" spans="9:39" x14ac:dyDescent="0.3">
      <c r="I288" s="12"/>
      <c r="N288" s="12"/>
      <c r="S288" s="12"/>
      <c r="X288" s="12"/>
      <c r="AM288" s="12"/>
    </row>
    <row r="289" spans="9:39" x14ac:dyDescent="0.3">
      <c r="I289" s="12"/>
      <c r="N289" s="12"/>
      <c r="S289" s="12"/>
      <c r="X289" s="12"/>
      <c r="AM289" s="12"/>
    </row>
    <row r="290" spans="9:39" x14ac:dyDescent="0.3">
      <c r="I290" s="12"/>
      <c r="N290" s="12"/>
      <c r="S290" s="12"/>
      <c r="X290" s="12"/>
      <c r="AM290" s="12"/>
    </row>
    <row r="291" spans="9:39" x14ac:dyDescent="0.3">
      <c r="I291" s="12"/>
      <c r="N291" s="12"/>
      <c r="S291" s="12"/>
      <c r="X291" s="12"/>
      <c r="AM291" s="12"/>
    </row>
    <row r="292" spans="9:39" x14ac:dyDescent="0.3">
      <c r="I292" s="12"/>
      <c r="N292" s="12"/>
      <c r="S292" s="12"/>
      <c r="X292" s="12"/>
      <c r="AM292" s="12"/>
    </row>
    <row r="293" spans="9:39" x14ac:dyDescent="0.3">
      <c r="I293" s="12"/>
      <c r="N293" s="12"/>
      <c r="S293" s="12"/>
      <c r="X293" s="12"/>
      <c r="AM293" s="12"/>
    </row>
    <row r="294" spans="9:39" x14ac:dyDescent="0.3">
      <c r="I294" s="12"/>
      <c r="N294" s="12"/>
      <c r="S294" s="12"/>
      <c r="X294" s="12"/>
      <c r="AM294" s="12"/>
    </row>
    <row r="295" spans="9:39" x14ac:dyDescent="0.3">
      <c r="I295" s="12"/>
      <c r="N295" s="12"/>
      <c r="S295" s="12"/>
      <c r="X295" s="12"/>
      <c r="AM295" s="12"/>
    </row>
    <row r="296" spans="9:39" x14ac:dyDescent="0.3">
      <c r="I296" s="12"/>
      <c r="N296" s="12"/>
      <c r="S296" s="12"/>
      <c r="X296" s="12"/>
      <c r="AM296" s="12"/>
    </row>
    <row r="297" spans="9:39" x14ac:dyDescent="0.3">
      <c r="I297" s="12"/>
      <c r="N297" s="12"/>
      <c r="S297" s="12"/>
      <c r="X297" s="12"/>
      <c r="AM297" s="12"/>
    </row>
    <row r="298" spans="9:39" x14ac:dyDescent="0.3">
      <c r="I298" s="12"/>
      <c r="N298" s="12"/>
      <c r="S298" s="12"/>
      <c r="X298" s="12"/>
      <c r="AM298" s="12"/>
    </row>
    <row r="299" spans="9:39" x14ac:dyDescent="0.3">
      <c r="I299" s="12"/>
      <c r="N299" s="12"/>
      <c r="S299" s="12"/>
      <c r="X299" s="12"/>
      <c r="AM299" s="12"/>
    </row>
    <row r="300" spans="9:39" x14ac:dyDescent="0.3">
      <c r="I300" s="12"/>
      <c r="N300" s="12"/>
      <c r="S300" s="12"/>
      <c r="X300" s="12"/>
      <c r="AM300" s="12"/>
    </row>
    <row r="301" spans="9:39" x14ac:dyDescent="0.3">
      <c r="I301" s="12"/>
      <c r="N301" s="12"/>
      <c r="S301" s="12"/>
      <c r="X301" s="12"/>
      <c r="AM301" s="12"/>
    </row>
    <row r="302" spans="9:39" x14ac:dyDescent="0.3">
      <c r="I302" s="12"/>
      <c r="N302" s="12"/>
      <c r="S302" s="12"/>
      <c r="X302" s="12"/>
      <c r="AM302" s="12"/>
    </row>
    <row r="303" spans="9:39" x14ac:dyDescent="0.3">
      <c r="I303" s="12"/>
      <c r="N303" s="12"/>
      <c r="S303" s="12"/>
      <c r="X303" s="12"/>
      <c r="AM303" s="12"/>
    </row>
    <row r="304" spans="9:39" x14ac:dyDescent="0.3">
      <c r="I304" s="12"/>
      <c r="N304" s="12"/>
      <c r="S304" s="12"/>
      <c r="X304" s="12"/>
      <c r="AM304" s="12"/>
    </row>
    <row r="305" spans="9:39" x14ac:dyDescent="0.3">
      <c r="I305" s="12"/>
      <c r="N305" s="12"/>
      <c r="S305" s="12"/>
      <c r="X305" s="12"/>
      <c r="AM305" s="12"/>
    </row>
    <row r="306" spans="9:39" x14ac:dyDescent="0.3">
      <c r="I306" s="12"/>
      <c r="N306" s="12"/>
      <c r="S306" s="12"/>
      <c r="X306" s="12"/>
      <c r="AM306" s="12"/>
    </row>
    <row r="307" spans="9:39" x14ac:dyDescent="0.3">
      <c r="I307" s="12"/>
      <c r="N307" s="12"/>
      <c r="S307" s="12"/>
      <c r="X307" s="12"/>
      <c r="AM307" s="12"/>
    </row>
    <row r="308" spans="9:39" x14ac:dyDescent="0.3">
      <c r="I308" s="12"/>
      <c r="N308" s="12"/>
      <c r="S308" s="12"/>
      <c r="X308" s="12"/>
      <c r="AM308" s="12"/>
    </row>
    <row r="309" spans="9:39" x14ac:dyDescent="0.3">
      <c r="I309" s="12"/>
      <c r="N309" s="12"/>
      <c r="S309" s="12"/>
      <c r="X309" s="12"/>
      <c r="AM309" s="12"/>
    </row>
    <row r="310" spans="9:39" x14ac:dyDescent="0.3">
      <c r="I310" s="12"/>
      <c r="N310" s="12"/>
      <c r="S310" s="12"/>
      <c r="X310" s="12"/>
      <c r="AM310" s="12"/>
    </row>
    <row r="311" spans="9:39" x14ac:dyDescent="0.3">
      <c r="I311" s="12"/>
      <c r="N311" s="12"/>
      <c r="S311" s="12"/>
      <c r="X311" s="12"/>
      <c r="AM311" s="12"/>
    </row>
    <row r="312" spans="9:39" x14ac:dyDescent="0.3">
      <c r="I312" s="12"/>
      <c r="N312" s="12"/>
      <c r="S312" s="12"/>
      <c r="X312" s="12"/>
      <c r="AM312" s="12"/>
    </row>
    <row r="313" spans="9:39" x14ac:dyDescent="0.3">
      <c r="I313" s="12"/>
      <c r="N313" s="12"/>
      <c r="S313" s="12"/>
      <c r="X313" s="12"/>
      <c r="AM313" s="12"/>
    </row>
    <row r="314" spans="9:39" x14ac:dyDescent="0.3">
      <c r="I314" s="12"/>
      <c r="N314" s="12"/>
      <c r="S314" s="12"/>
      <c r="X314" s="12"/>
      <c r="AM314" s="12"/>
    </row>
    <row r="315" spans="9:39" x14ac:dyDescent="0.3">
      <c r="I315" s="12"/>
      <c r="N315" s="12"/>
      <c r="S315" s="12"/>
      <c r="X315" s="12"/>
      <c r="AM315" s="12"/>
    </row>
    <row r="316" spans="9:39" x14ac:dyDescent="0.3">
      <c r="I316" s="12"/>
      <c r="N316" s="12"/>
      <c r="S316" s="12"/>
      <c r="X316" s="12"/>
      <c r="AM316" s="12"/>
    </row>
    <row r="317" spans="9:39" x14ac:dyDescent="0.3">
      <c r="I317" s="12"/>
      <c r="N317" s="12"/>
      <c r="S317" s="12"/>
      <c r="X317" s="12"/>
      <c r="AM317" s="12"/>
    </row>
    <row r="318" spans="9:39" x14ac:dyDescent="0.3">
      <c r="I318" s="12"/>
      <c r="N318" s="12"/>
      <c r="S318" s="12"/>
      <c r="X318" s="12"/>
      <c r="AM318" s="12"/>
    </row>
    <row r="319" spans="9:39" x14ac:dyDescent="0.3">
      <c r="I319" s="12"/>
      <c r="N319" s="12"/>
      <c r="S319" s="12"/>
      <c r="X319" s="12"/>
      <c r="AM319" s="12"/>
    </row>
    <row r="320" spans="9:39" x14ac:dyDescent="0.3">
      <c r="I320" s="12"/>
      <c r="N320" s="12"/>
      <c r="S320" s="12"/>
      <c r="X320" s="12"/>
      <c r="AM320" s="12"/>
    </row>
    <row r="321" spans="9:39" x14ac:dyDescent="0.3">
      <c r="I321" s="12"/>
      <c r="N321" s="12"/>
      <c r="S321" s="12"/>
      <c r="X321" s="12"/>
      <c r="AM321" s="12"/>
    </row>
    <row r="322" spans="9:39" x14ac:dyDescent="0.3">
      <c r="I322" s="12"/>
      <c r="N322" s="12"/>
      <c r="S322" s="12"/>
      <c r="X322" s="12"/>
      <c r="AM322" s="12"/>
    </row>
    <row r="323" spans="9:39" x14ac:dyDescent="0.3">
      <c r="I323" s="12"/>
      <c r="N323" s="12"/>
      <c r="S323" s="12"/>
      <c r="X323" s="12"/>
      <c r="AM323" s="12"/>
    </row>
    <row r="324" spans="9:39" x14ac:dyDescent="0.3">
      <c r="I324" s="12"/>
      <c r="N324" s="12"/>
      <c r="S324" s="12"/>
      <c r="X324" s="12"/>
      <c r="AM324" s="12"/>
    </row>
    <row r="325" spans="9:39" x14ac:dyDescent="0.3">
      <c r="I325" s="12"/>
      <c r="N325" s="12"/>
      <c r="S325" s="12"/>
      <c r="X325" s="12"/>
      <c r="AM325" s="12"/>
    </row>
    <row r="326" spans="9:39" x14ac:dyDescent="0.3">
      <c r="I326" s="12"/>
      <c r="N326" s="12"/>
      <c r="S326" s="12"/>
      <c r="X326" s="12"/>
      <c r="AM326" s="12"/>
    </row>
    <row r="327" spans="9:39" x14ac:dyDescent="0.3">
      <c r="I327" s="12"/>
      <c r="N327" s="12"/>
      <c r="S327" s="12"/>
      <c r="X327" s="12"/>
      <c r="AM327" s="12"/>
    </row>
    <row r="328" spans="9:39" x14ac:dyDescent="0.3">
      <c r="I328" s="12"/>
      <c r="N328" s="12"/>
      <c r="S328" s="12"/>
      <c r="X328" s="12"/>
      <c r="AM328" s="12"/>
    </row>
    <row r="329" spans="9:39" x14ac:dyDescent="0.3">
      <c r="I329" s="12"/>
      <c r="N329" s="12"/>
      <c r="S329" s="12"/>
      <c r="X329" s="12"/>
      <c r="AM329" s="12"/>
    </row>
    <row r="330" spans="9:39" x14ac:dyDescent="0.3">
      <c r="I330" s="12"/>
      <c r="N330" s="12"/>
      <c r="S330" s="12"/>
      <c r="X330" s="12"/>
      <c r="AM330" s="12"/>
    </row>
    <row r="331" spans="9:39" x14ac:dyDescent="0.3">
      <c r="I331" s="12"/>
      <c r="N331" s="12"/>
      <c r="S331" s="12"/>
      <c r="X331" s="12"/>
      <c r="AM331" s="12"/>
    </row>
    <row r="332" spans="9:39" x14ac:dyDescent="0.3">
      <c r="I332" s="12"/>
      <c r="N332" s="12"/>
      <c r="S332" s="12"/>
      <c r="X332" s="12"/>
      <c r="AM332" s="12"/>
    </row>
    <row r="333" spans="9:39" x14ac:dyDescent="0.3">
      <c r="I333" s="12"/>
      <c r="N333" s="12"/>
      <c r="S333" s="12"/>
      <c r="X333" s="12"/>
      <c r="AM333" s="12"/>
    </row>
    <row r="334" spans="9:39" x14ac:dyDescent="0.3">
      <c r="I334" s="12"/>
      <c r="N334" s="12"/>
      <c r="S334" s="12"/>
      <c r="X334" s="12"/>
      <c r="AM334" s="12"/>
    </row>
    <row r="335" spans="9:39" x14ac:dyDescent="0.3">
      <c r="I335" s="12"/>
      <c r="N335" s="12"/>
      <c r="S335" s="12"/>
      <c r="X335" s="12"/>
      <c r="AM335" s="12"/>
    </row>
    <row r="336" spans="9:39" x14ac:dyDescent="0.3">
      <c r="I336" s="12"/>
      <c r="N336" s="12"/>
      <c r="S336" s="12"/>
      <c r="X336" s="12"/>
      <c r="AM336" s="12"/>
    </row>
    <row r="337" spans="9:39" x14ac:dyDescent="0.3">
      <c r="I337" s="12"/>
      <c r="N337" s="12"/>
      <c r="S337" s="12"/>
      <c r="X337" s="12"/>
      <c r="AM337" s="12"/>
    </row>
    <row r="338" spans="9:39" x14ac:dyDescent="0.3">
      <c r="I338" s="12"/>
      <c r="N338" s="12"/>
      <c r="S338" s="12"/>
      <c r="X338" s="12"/>
      <c r="AM338" s="12"/>
    </row>
    <row r="339" spans="9:39" x14ac:dyDescent="0.3">
      <c r="I339" s="12"/>
      <c r="N339" s="12"/>
      <c r="S339" s="12"/>
      <c r="X339" s="12"/>
      <c r="AM339" s="12"/>
    </row>
    <row r="340" spans="9:39" x14ac:dyDescent="0.3">
      <c r="I340" s="12"/>
      <c r="N340" s="12"/>
      <c r="S340" s="12"/>
      <c r="X340" s="12"/>
      <c r="AM340" s="12"/>
    </row>
    <row r="341" spans="9:39" x14ac:dyDescent="0.3">
      <c r="I341" s="12"/>
      <c r="N341" s="12"/>
      <c r="S341" s="12"/>
      <c r="X341" s="12"/>
      <c r="AM341" s="12"/>
    </row>
    <row r="342" spans="9:39" x14ac:dyDescent="0.3">
      <c r="I342" s="12"/>
      <c r="N342" s="12"/>
      <c r="S342" s="12"/>
      <c r="X342" s="12"/>
      <c r="AM342" s="12"/>
    </row>
    <row r="343" spans="9:39" x14ac:dyDescent="0.3">
      <c r="I343" s="12"/>
      <c r="N343" s="12"/>
      <c r="S343" s="12"/>
      <c r="X343" s="12"/>
      <c r="AM343" s="12"/>
    </row>
    <row r="344" spans="9:39" x14ac:dyDescent="0.3">
      <c r="I344" s="12"/>
      <c r="N344" s="12"/>
      <c r="S344" s="12"/>
      <c r="X344" s="12"/>
      <c r="AM344" s="12"/>
    </row>
    <row r="345" spans="9:39" x14ac:dyDescent="0.3">
      <c r="I345" s="12"/>
      <c r="N345" s="12"/>
      <c r="S345" s="12"/>
      <c r="X345" s="12"/>
      <c r="AM345" s="12"/>
    </row>
    <row r="346" spans="9:39" x14ac:dyDescent="0.3">
      <c r="I346" s="12"/>
      <c r="N346" s="12"/>
      <c r="S346" s="12"/>
      <c r="X346" s="12"/>
      <c r="AM346" s="12"/>
    </row>
    <row r="347" spans="9:39" x14ac:dyDescent="0.3">
      <c r="I347" s="12"/>
      <c r="N347" s="12"/>
      <c r="S347" s="12"/>
      <c r="X347" s="12"/>
      <c r="AM347" s="12"/>
    </row>
    <row r="348" spans="9:39" x14ac:dyDescent="0.3">
      <c r="I348" s="12"/>
      <c r="N348" s="12"/>
      <c r="S348" s="12"/>
      <c r="X348" s="12"/>
      <c r="AM348" s="12"/>
    </row>
    <row r="349" spans="9:39" x14ac:dyDescent="0.3">
      <c r="I349" s="12"/>
      <c r="N349" s="12"/>
      <c r="S349" s="12"/>
      <c r="X349" s="12"/>
      <c r="AM349" s="12"/>
    </row>
    <row r="350" spans="9:39" x14ac:dyDescent="0.3">
      <c r="I350" s="12"/>
      <c r="N350" s="12"/>
      <c r="S350" s="12"/>
      <c r="X350" s="12"/>
      <c r="AM350" s="12"/>
    </row>
    <row r="351" spans="9:39" x14ac:dyDescent="0.3">
      <c r="I351" s="12"/>
      <c r="N351" s="12"/>
      <c r="S351" s="12"/>
      <c r="X351" s="12"/>
      <c r="AM351" s="12"/>
    </row>
    <row r="352" spans="9:39" x14ac:dyDescent="0.3">
      <c r="I352" s="12"/>
      <c r="N352" s="12"/>
      <c r="S352" s="12"/>
      <c r="X352" s="12"/>
      <c r="AM352" s="12"/>
    </row>
    <row r="353" spans="9:39" x14ac:dyDescent="0.3">
      <c r="I353" s="12"/>
      <c r="N353" s="12"/>
      <c r="S353" s="12"/>
      <c r="X353" s="12"/>
      <c r="AM353" s="12"/>
    </row>
    <row r="354" spans="9:39" x14ac:dyDescent="0.3">
      <c r="I354" s="12"/>
      <c r="N354" s="12"/>
      <c r="S354" s="12"/>
      <c r="X354" s="12"/>
      <c r="AM354" s="12"/>
    </row>
    <row r="355" spans="9:39" x14ac:dyDescent="0.3">
      <c r="I355" s="12"/>
      <c r="N355" s="12"/>
      <c r="S355" s="12"/>
      <c r="X355" s="12"/>
      <c r="AM355" s="12"/>
    </row>
    <row r="356" spans="9:39" x14ac:dyDescent="0.3">
      <c r="I356" s="12"/>
      <c r="N356" s="12"/>
      <c r="S356" s="12"/>
      <c r="X356" s="12"/>
      <c r="AM356" s="12"/>
    </row>
    <row r="357" spans="9:39" x14ac:dyDescent="0.3">
      <c r="I357" s="12"/>
      <c r="N357" s="12"/>
      <c r="S357" s="12"/>
      <c r="X357" s="12"/>
      <c r="AM357" s="12"/>
    </row>
    <row r="358" spans="9:39" x14ac:dyDescent="0.3">
      <c r="I358" s="12"/>
      <c r="N358" s="12"/>
      <c r="S358" s="12"/>
      <c r="X358" s="12"/>
      <c r="AM358" s="12"/>
    </row>
    <row r="359" spans="9:39" x14ac:dyDescent="0.3">
      <c r="I359" s="12"/>
      <c r="N359" s="12"/>
      <c r="S359" s="12"/>
      <c r="X359" s="12"/>
      <c r="AM359" s="12"/>
    </row>
    <row r="360" spans="9:39" x14ac:dyDescent="0.3">
      <c r="I360" s="12"/>
      <c r="N360" s="12"/>
      <c r="S360" s="12"/>
      <c r="X360" s="12"/>
      <c r="AM360" s="12"/>
    </row>
    <row r="361" spans="9:39" x14ac:dyDescent="0.3">
      <c r="I361" s="12"/>
      <c r="N361" s="12"/>
      <c r="S361" s="12"/>
      <c r="X361" s="12"/>
      <c r="AM361" s="12"/>
    </row>
    <row r="362" spans="9:39" x14ac:dyDescent="0.3">
      <c r="I362" s="12"/>
      <c r="N362" s="12"/>
      <c r="S362" s="12"/>
      <c r="X362" s="12"/>
      <c r="AM362" s="12"/>
    </row>
    <row r="363" spans="9:39" x14ac:dyDescent="0.3">
      <c r="I363" s="12"/>
      <c r="N363" s="12"/>
      <c r="S363" s="12"/>
      <c r="X363" s="12"/>
      <c r="AM363" s="12"/>
    </row>
    <row r="364" spans="9:39" x14ac:dyDescent="0.3">
      <c r="I364" s="12"/>
      <c r="N364" s="12"/>
      <c r="S364" s="12"/>
      <c r="X364" s="12"/>
      <c r="AM364" s="12"/>
    </row>
    <row r="365" spans="9:39" x14ac:dyDescent="0.3">
      <c r="I365" s="12"/>
      <c r="N365" s="12"/>
      <c r="S365" s="12"/>
      <c r="X365" s="12"/>
      <c r="AM365" s="12"/>
    </row>
    <row r="366" spans="9:39" x14ac:dyDescent="0.3">
      <c r="I366" s="12"/>
      <c r="N366" s="12"/>
      <c r="S366" s="12"/>
      <c r="X366" s="12"/>
      <c r="AM366" s="12"/>
    </row>
    <row r="367" spans="9:39" x14ac:dyDescent="0.3">
      <c r="I367" s="12"/>
      <c r="N367" s="12"/>
      <c r="S367" s="12"/>
      <c r="X367" s="12"/>
      <c r="AM367" s="12"/>
    </row>
    <row r="368" spans="9:39" x14ac:dyDescent="0.3">
      <c r="I368" s="12"/>
      <c r="N368" s="12"/>
      <c r="S368" s="12"/>
      <c r="X368" s="12"/>
      <c r="AM368" s="12"/>
    </row>
    <row r="369" spans="9:39" x14ac:dyDescent="0.3">
      <c r="I369" s="12"/>
      <c r="N369" s="12"/>
      <c r="S369" s="12"/>
      <c r="X369" s="12"/>
      <c r="AM369" s="12"/>
    </row>
    <row r="370" spans="9:39" x14ac:dyDescent="0.3">
      <c r="I370" s="12"/>
      <c r="N370" s="12"/>
      <c r="S370" s="12"/>
      <c r="X370" s="12"/>
      <c r="AM370" s="12"/>
    </row>
    <row r="371" spans="9:39" x14ac:dyDescent="0.3">
      <c r="I371" s="12"/>
      <c r="N371" s="12"/>
      <c r="S371" s="12"/>
      <c r="X371" s="12"/>
      <c r="AM371" s="12"/>
    </row>
    <row r="372" spans="9:39" x14ac:dyDescent="0.3">
      <c r="I372" s="12"/>
      <c r="N372" s="12"/>
      <c r="S372" s="12"/>
      <c r="X372" s="12"/>
      <c r="AM372" s="12"/>
    </row>
    <row r="373" spans="9:39" x14ac:dyDescent="0.3">
      <c r="I373" s="12"/>
      <c r="N373" s="12"/>
      <c r="S373" s="12"/>
      <c r="X373" s="12"/>
      <c r="AM373" s="12"/>
    </row>
    <row r="374" spans="9:39" x14ac:dyDescent="0.3">
      <c r="I374" s="12"/>
      <c r="N374" s="12"/>
      <c r="S374" s="12"/>
      <c r="X374" s="12"/>
      <c r="AM374" s="12"/>
    </row>
    <row r="375" spans="9:39" x14ac:dyDescent="0.3">
      <c r="I375" s="12"/>
      <c r="N375" s="12"/>
      <c r="S375" s="12"/>
      <c r="X375" s="12"/>
      <c r="AM375" s="12"/>
    </row>
    <row r="376" spans="9:39" x14ac:dyDescent="0.3">
      <c r="I376" s="12"/>
      <c r="N376" s="12"/>
      <c r="S376" s="12"/>
      <c r="X376" s="12"/>
      <c r="AM376" s="12"/>
    </row>
    <row r="377" spans="9:39" x14ac:dyDescent="0.3">
      <c r="I377" s="12"/>
      <c r="N377" s="12"/>
      <c r="S377" s="12"/>
      <c r="X377" s="12"/>
      <c r="AM377" s="12"/>
    </row>
    <row r="378" spans="9:39" x14ac:dyDescent="0.3">
      <c r="I378" s="12"/>
      <c r="N378" s="12"/>
      <c r="S378" s="12"/>
      <c r="X378" s="12"/>
      <c r="AM378" s="12"/>
    </row>
    <row r="379" spans="9:39" x14ac:dyDescent="0.3">
      <c r="I379" s="12"/>
      <c r="N379" s="12"/>
      <c r="S379" s="12"/>
      <c r="X379" s="12"/>
      <c r="AM379" s="12"/>
    </row>
    <row r="380" spans="9:39" x14ac:dyDescent="0.3">
      <c r="I380" s="12"/>
      <c r="N380" s="12"/>
      <c r="S380" s="12"/>
      <c r="X380" s="12"/>
      <c r="AM380" s="12"/>
    </row>
    <row r="381" spans="9:39" x14ac:dyDescent="0.3">
      <c r="I381" s="12"/>
      <c r="N381" s="12"/>
      <c r="S381" s="12"/>
      <c r="X381" s="12"/>
      <c r="AM381" s="12"/>
    </row>
    <row r="382" spans="9:39" x14ac:dyDescent="0.3">
      <c r="I382" s="12"/>
      <c r="N382" s="12"/>
      <c r="S382" s="12"/>
      <c r="X382" s="12"/>
      <c r="AM382" s="12"/>
    </row>
    <row r="383" spans="9:39" x14ac:dyDescent="0.3">
      <c r="I383" s="12"/>
      <c r="N383" s="12"/>
      <c r="S383" s="12"/>
      <c r="X383" s="12"/>
      <c r="AM383" s="12"/>
    </row>
    <row r="384" spans="9:39" x14ac:dyDescent="0.3">
      <c r="I384" s="12"/>
      <c r="N384" s="12"/>
      <c r="S384" s="12"/>
      <c r="X384" s="12"/>
      <c r="AM384" s="12"/>
    </row>
    <row r="385" spans="9:39" x14ac:dyDescent="0.3">
      <c r="I385" s="12"/>
      <c r="N385" s="12"/>
      <c r="S385" s="12"/>
      <c r="X385" s="12"/>
      <c r="AM385" s="12"/>
    </row>
    <row r="386" spans="9:39" x14ac:dyDescent="0.3">
      <c r="I386" s="12"/>
      <c r="N386" s="12"/>
      <c r="S386" s="12"/>
      <c r="X386" s="12"/>
      <c r="AM386" s="12"/>
    </row>
    <row r="387" spans="9:39" x14ac:dyDescent="0.3">
      <c r="I387" s="12"/>
      <c r="N387" s="12"/>
      <c r="S387" s="12"/>
      <c r="X387" s="12"/>
      <c r="AM387" s="12"/>
    </row>
    <row r="388" spans="9:39" x14ac:dyDescent="0.3">
      <c r="I388" s="12"/>
      <c r="N388" s="12"/>
      <c r="S388" s="12"/>
      <c r="X388" s="12"/>
      <c r="AM388" s="12"/>
    </row>
    <row r="389" spans="9:39" x14ac:dyDescent="0.3">
      <c r="I389" s="12"/>
      <c r="N389" s="12"/>
      <c r="S389" s="12"/>
      <c r="X389" s="12"/>
      <c r="AM389" s="12"/>
    </row>
    <row r="390" spans="9:39" x14ac:dyDescent="0.3">
      <c r="I390" s="12"/>
      <c r="N390" s="12"/>
      <c r="S390" s="12"/>
      <c r="X390" s="12"/>
      <c r="AM390" s="12"/>
    </row>
    <row r="391" spans="9:39" x14ac:dyDescent="0.3">
      <c r="I391" s="12"/>
      <c r="N391" s="12"/>
      <c r="S391" s="12"/>
      <c r="X391" s="12"/>
      <c r="AM391" s="12"/>
    </row>
    <row r="392" spans="9:39" x14ac:dyDescent="0.3">
      <c r="I392" s="12"/>
      <c r="N392" s="12"/>
      <c r="S392" s="12"/>
      <c r="X392" s="12"/>
      <c r="AM392" s="12"/>
    </row>
    <row r="393" spans="9:39" x14ac:dyDescent="0.3">
      <c r="I393" s="12"/>
      <c r="N393" s="12"/>
      <c r="S393" s="12"/>
      <c r="X393" s="12"/>
      <c r="AM393" s="12"/>
    </row>
    <row r="394" spans="9:39" x14ac:dyDescent="0.3">
      <c r="I394" s="12"/>
      <c r="N394" s="12"/>
      <c r="S394" s="12"/>
      <c r="X394" s="12"/>
      <c r="AM394" s="12"/>
    </row>
    <row r="395" spans="9:39" x14ac:dyDescent="0.3">
      <c r="I395" s="12"/>
      <c r="N395" s="12"/>
      <c r="S395" s="12"/>
      <c r="X395" s="12"/>
      <c r="AM395" s="12"/>
    </row>
    <row r="396" spans="9:39" x14ac:dyDescent="0.3">
      <c r="I396" s="12"/>
      <c r="N396" s="12"/>
      <c r="S396" s="12"/>
      <c r="X396" s="12"/>
      <c r="AM396" s="12"/>
    </row>
    <row r="397" spans="9:39" x14ac:dyDescent="0.3">
      <c r="I397" s="12"/>
      <c r="N397" s="12"/>
      <c r="S397" s="12"/>
      <c r="X397" s="12"/>
      <c r="AM397" s="12"/>
    </row>
    <row r="398" spans="9:39" x14ac:dyDescent="0.3">
      <c r="I398" s="12"/>
      <c r="N398" s="12"/>
      <c r="S398" s="12"/>
      <c r="X398" s="12"/>
      <c r="AM398" s="12"/>
    </row>
    <row r="399" spans="9:39" x14ac:dyDescent="0.3">
      <c r="I399" s="12"/>
      <c r="N399" s="12"/>
      <c r="S399" s="12"/>
      <c r="X399" s="12"/>
      <c r="AM399" s="12"/>
    </row>
    <row r="400" spans="9:39" x14ac:dyDescent="0.3">
      <c r="I400" s="12"/>
      <c r="N400" s="12"/>
      <c r="S400" s="12"/>
      <c r="X400" s="12"/>
      <c r="AM400" s="12"/>
    </row>
    <row r="401" spans="9:39" x14ac:dyDescent="0.3">
      <c r="I401" s="12"/>
      <c r="N401" s="12"/>
      <c r="S401" s="12"/>
      <c r="X401" s="12"/>
      <c r="AM401" s="12"/>
    </row>
    <row r="402" spans="9:39" x14ac:dyDescent="0.3">
      <c r="I402" s="12"/>
      <c r="N402" s="12"/>
      <c r="S402" s="12"/>
      <c r="X402" s="12"/>
      <c r="AM402" s="12"/>
    </row>
    <row r="403" spans="9:39" x14ac:dyDescent="0.3">
      <c r="I403" s="12"/>
      <c r="N403" s="12"/>
      <c r="S403" s="12"/>
      <c r="X403" s="12"/>
      <c r="AM403" s="12"/>
    </row>
    <row r="404" spans="9:39" x14ac:dyDescent="0.3">
      <c r="I404" s="12"/>
      <c r="N404" s="12"/>
      <c r="S404" s="12"/>
      <c r="X404" s="12"/>
      <c r="AM404" s="12"/>
    </row>
    <row r="405" spans="9:39" x14ac:dyDescent="0.3">
      <c r="I405" s="12"/>
      <c r="N405" s="12"/>
      <c r="S405" s="12"/>
      <c r="X405" s="12"/>
      <c r="AM405" s="12"/>
    </row>
    <row r="406" spans="9:39" x14ac:dyDescent="0.3">
      <c r="I406" s="12"/>
      <c r="N406" s="12"/>
      <c r="S406" s="12"/>
      <c r="X406" s="12"/>
      <c r="AM406" s="12"/>
    </row>
    <row r="407" spans="9:39" x14ac:dyDescent="0.3">
      <c r="I407" s="12"/>
      <c r="N407" s="12"/>
      <c r="S407" s="12"/>
      <c r="X407" s="12"/>
      <c r="AM407" s="12"/>
    </row>
    <row r="408" spans="9:39" x14ac:dyDescent="0.3">
      <c r="I408" s="12"/>
      <c r="N408" s="12"/>
      <c r="S408" s="12"/>
      <c r="X408" s="12"/>
      <c r="AM408" s="12"/>
    </row>
    <row r="409" spans="9:39" x14ac:dyDescent="0.3">
      <c r="I409" s="12"/>
      <c r="N409" s="12"/>
      <c r="S409" s="12"/>
      <c r="X409" s="12"/>
      <c r="AM409" s="12"/>
    </row>
    <row r="410" spans="9:39" x14ac:dyDescent="0.3">
      <c r="I410" s="12"/>
      <c r="N410" s="12"/>
      <c r="S410" s="12"/>
      <c r="X410" s="12"/>
      <c r="AM410" s="12"/>
    </row>
    <row r="411" spans="9:39" x14ac:dyDescent="0.3">
      <c r="I411" s="12"/>
      <c r="N411" s="12"/>
      <c r="S411" s="12"/>
      <c r="X411" s="12"/>
      <c r="AM411" s="12"/>
    </row>
    <row r="412" spans="9:39" x14ac:dyDescent="0.3">
      <c r="I412" s="12"/>
      <c r="N412" s="12"/>
      <c r="S412" s="12"/>
      <c r="X412" s="12"/>
      <c r="AM412" s="12"/>
    </row>
    <row r="413" spans="9:39" x14ac:dyDescent="0.3">
      <c r="I413" s="12"/>
      <c r="N413" s="12"/>
      <c r="S413" s="12"/>
      <c r="X413" s="12"/>
      <c r="AM413" s="12"/>
    </row>
    <row r="414" spans="9:39" x14ac:dyDescent="0.3">
      <c r="I414" s="12"/>
      <c r="N414" s="12"/>
      <c r="S414" s="12"/>
      <c r="X414" s="12"/>
      <c r="AM414" s="12"/>
    </row>
    <row r="415" spans="9:39" x14ac:dyDescent="0.3">
      <c r="I415" s="12"/>
      <c r="N415" s="12"/>
      <c r="S415" s="12"/>
      <c r="X415" s="12"/>
      <c r="AM415" s="12"/>
    </row>
    <row r="416" spans="9:39" x14ac:dyDescent="0.3">
      <c r="I416" s="12"/>
      <c r="N416" s="12"/>
      <c r="S416" s="12"/>
      <c r="X416" s="12"/>
      <c r="AM416" s="12"/>
    </row>
    <row r="417" spans="9:39" x14ac:dyDescent="0.3">
      <c r="I417" s="12"/>
      <c r="N417" s="12"/>
      <c r="S417" s="12"/>
      <c r="X417" s="12"/>
      <c r="AM417" s="12"/>
    </row>
    <row r="418" spans="9:39" x14ac:dyDescent="0.3">
      <c r="I418" s="12"/>
      <c r="N418" s="12"/>
      <c r="S418" s="12"/>
      <c r="X418" s="12"/>
      <c r="AM418" s="12"/>
    </row>
    <row r="419" spans="9:39" x14ac:dyDescent="0.3">
      <c r="I419" s="12"/>
      <c r="N419" s="12"/>
      <c r="S419" s="12"/>
      <c r="X419" s="12"/>
      <c r="AM419" s="12"/>
    </row>
    <row r="420" spans="9:39" x14ac:dyDescent="0.3">
      <c r="I420" s="12"/>
      <c r="N420" s="12"/>
      <c r="S420" s="12"/>
      <c r="X420" s="12"/>
      <c r="AM420" s="12"/>
    </row>
    <row r="421" spans="9:39" x14ac:dyDescent="0.3">
      <c r="I421" s="12"/>
      <c r="N421" s="12"/>
      <c r="S421" s="12"/>
      <c r="X421" s="12"/>
      <c r="AM421" s="12"/>
    </row>
    <row r="422" spans="9:39" x14ac:dyDescent="0.3">
      <c r="I422" s="12"/>
      <c r="N422" s="12"/>
      <c r="S422" s="12"/>
      <c r="X422" s="12"/>
      <c r="AM422" s="12"/>
    </row>
    <row r="423" spans="9:39" x14ac:dyDescent="0.3">
      <c r="I423" s="12"/>
      <c r="N423" s="12"/>
      <c r="S423" s="12"/>
      <c r="X423" s="12"/>
      <c r="AM423" s="12"/>
    </row>
    <row r="424" spans="9:39" x14ac:dyDescent="0.3">
      <c r="I424" s="12"/>
      <c r="N424" s="12"/>
      <c r="S424" s="12"/>
      <c r="X424" s="12"/>
      <c r="AM424" s="12"/>
    </row>
    <row r="425" spans="9:39" x14ac:dyDescent="0.3">
      <c r="I425" s="12"/>
      <c r="N425" s="12"/>
      <c r="S425" s="12"/>
      <c r="X425" s="12"/>
      <c r="AM425" s="12"/>
    </row>
    <row r="426" spans="9:39" x14ac:dyDescent="0.3">
      <c r="I426" s="12"/>
      <c r="N426" s="12"/>
      <c r="S426" s="12"/>
      <c r="X426" s="12"/>
      <c r="AM426" s="12"/>
    </row>
    <row r="427" spans="9:39" x14ac:dyDescent="0.3">
      <c r="I427" s="12"/>
      <c r="N427" s="12"/>
      <c r="S427" s="12"/>
      <c r="X427" s="12"/>
      <c r="AM427" s="12"/>
    </row>
    <row r="428" spans="9:39" x14ac:dyDescent="0.3">
      <c r="I428" s="12"/>
      <c r="N428" s="12"/>
      <c r="S428" s="12"/>
      <c r="X428" s="12"/>
      <c r="AM428" s="12"/>
    </row>
    <row r="429" spans="9:39" x14ac:dyDescent="0.3">
      <c r="I429" s="12"/>
      <c r="N429" s="12"/>
      <c r="S429" s="12"/>
      <c r="X429" s="12"/>
      <c r="AM429" s="12"/>
    </row>
    <row r="430" spans="9:39" x14ac:dyDescent="0.3">
      <c r="I430" s="12"/>
      <c r="N430" s="12"/>
      <c r="S430" s="12"/>
      <c r="X430" s="12"/>
      <c r="AM430" s="12"/>
    </row>
    <row r="431" spans="9:39" x14ac:dyDescent="0.3">
      <c r="I431" s="12"/>
      <c r="N431" s="12"/>
      <c r="S431" s="12"/>
      <c r="X431" s="12"/>
      <c r="AM431" s="12"/>
    </row>
    <row r="432" spans="9:39" x14ac:dyDescent="0.3">
      <c r="I432" s="12"/>
      <c r="N432" s="12"/>
      <c r="S432" s="12"/>
      <c r="X432" s="12"/>
      <c r="AM432" s="12"/>
    </row>
    <row r="433" spans="9:39" x14ac:dyDescent="0.3">
      <c r="I433" s="12"/>
      <c r="N433" s="12"/>
      <c r="S433" s="12"/>
      <c r="X433" s="12"/>
      <c r="AM433" s="12"/>
    </row>
    <row r="434" spans="9:39" x14ac:dyDescent="0.3">
      <c r="I434" s="12"/>
      <c r="N434" s="12"/>
      <c r="S434" s="12"/>
      <c r="X434" s="12"/>
      <c r="AM434" s="12"/>
    </row>
    <row r="435" spans="9:39" x14ac:dyDescent="0.3">
      <c r="I435" s="12"/>
      <c r="N435" s="12"/>
      <c r="S435" s="12"/>
      <c r="X435" s="12"/>
      <c r="AM435" s="12"/>
    </row>
    <row r="436" spans="9:39" x14ac:dyDescent="0.3">
      <c r="I436" s="12"/>
      <c r="N436" s="12"/>
      <c r="S436" s="12"/>
      <c r="X436" s="12"/>
      <c r="AM436" s="12"/>
    </row>
    <row r="437" spans="9:39" x14ac:dyDescent="0.3">
      <c r="I437" s="12"/>
      <c r="N437" s="12"/>
      <c r="S437" s="12"/>
      <c r="X437" s="12"/>
      <c r="AM437" s="12"/>
    </row>
    <row r="438" spans="9:39" x14ac:dyDescent="0.3">
      <c r="I438" s="12"/>
      <c r="N438" s="12"/>
      <c r="S438" s="12"/>
      <c r="X438" s="12"/>
      <c r="AM438" s="12"/>
    </row>
    <row r="439" spans="9:39" x14ac:dyDescent="0.3">
      <c r="I439" s="12"/>
      <c r="N439" s="12"/>
      <c r="S439" s="12"/>
      <c r="X439" s="12"/>
      <c r="AM439" s="12"/>
    </row>
    <row r="440" spans="9:39" x14ac:dyDescent="0.3">
      <c r="I440" s="12"/>
      <c r="N440" s="12"/>
      <c r="S440" s="12"/>
      <c r="X440" s="12"/>
      <c r="AM440" s="12"/>
    </row>
    <row r="441" spans="9:39" x14ac:dyDescent="0.3">
      <c r="I441" s="12"/>
      <c r="N441" s="12"/>
      <c r="S441" s="12"/>
      <c r="X441" s="12"/>
      <c r="AM441" s="12"/>
    </row>
    <row r="442" spans="9:39" x14ac:dyDescent="0.3">
      <c r="I442" s="12"/>
      <c r="N442" s="12"/>
      <c r="S442" s="12"/>
      <c r="X442" s="12"/>
      <c r="AM442" s="12"/>
    </row>
    <row r="443" spans="9:39" x14ac:dyDescent="0.3">
      <c r="I443" s="12"/>
      <c r="N443" s="12"/>
      <c r="S443" s="12"/>
      <c r="X443" s="12"/>
      <c r="AM443" s="12"/>
    </row>
    <row r="444" spans="9:39" x14ac:dyDescent="0.3">
      <c r="I444" s="12"/>
      <c r="N444" s="12"/>
      <c r="S444" s="12"/>
      <c r="X444" s="12"/>
      <c r="AM444" s="12"/>
    </row>
    <row r="445" spans="9:39" x14ac:dyDescent="0.3">
      <c r="I445" s="12"/>
      <c r="N445" s="12"/>
      <c r="S445" s="12"/>
      <c r="X445" s="12"/>
      <c r="AM445" s="12"/>
    </row>
    <row r="446" spans="9:39" x14ac:dyDescent="0.3">
      <c r="I446" s="12"/>
      <c r="N446" s="12"/>
      <c r="S446" s="12"/>
      <c r="X446" s="12"/>
      <c r="AM446" s="12"/>
    </row>
    <row r="447" spans="9:39" x14ac:dyDescent="0.3">
      <c r="I447" s="12"/>
      <c r="N447" s="12"/>
      <c r="S447" s="12"/>
      <c r="X447" s="12"/>
      <c r="AM447" s="12"/>
    </row>
    <row r="448" spans="9:39" x14ac:dyDescent="0.3">
      <c r="I448" s="12"/>
      <c r="N448" s="12"/>
      <c r="S448" s="12"/>
      <c r="X448" s="12"/>
      <c r="AM448" s="12"/>
    </row>
    <row r="449" spans="9:39" x14ac:dyDescent="0.3">
      <c r="I449" s="12"/>
      <c r="N449" s="12"/>
      <c r="S449" s="12"/>
      <c r="X449" s="12"/>
      <c r="AM449" s="12"/>
    </row>
    <row r="450" spans="9:39" x14ac:dyDescent="0.3">
      <c r="I450" s="12"/>
      <c r="N450" s="12"/>
      <c r="S450" s="12"/>
      <c r="X450" s="12"/>
      <c r="AM450" s="12"/>
    </row>
    <row r="451" spans="9:39" x14ac:dyDescent="0.3">
      <c r="I451" s="12"/>
      <c r="N451" s="12"/>
      <c r="S451" s="12"/>
      <c r="X451" s="12"/>
      <c r="AM451" s="12"/>
    </row>
    <row r="452" spans="9:39" x14ac:dyDescent="0.3">
      <c r="I452" s="12"/>
      <c r="N452" s="12"/>
      <c r="S452" s="12"/>
      <c r="X452" s="12"/>
      <c r="AM452" s="12"/>
    </row>
    <row r="453" spans="9:39" x14ac:dyDescent="0.3">
      <c r="I453" s="12"/>
      <c r="N453" s="12"/>
      <c r="S453" s="12"/>
      <c r="X453" s="12"/>
      <c r="AM453" s="12"/>
    </row>
    <row r="454" spans="9:39" x14ac:dyDescent="0.3">
      <c r="I454" s="12"/>
      <c r="N454" s="12"/>
      <c r="S454" s="12"/>
      <c r="X454" s="12"/>
      <c r="AM454" s="12"/>
    </row>
    <row r="455" spans="9:39" x14ac:dyDescent="0.3">
      <c r="I455" s="12"/>
      <c r="N455" s="12"/>
      <c r="S455" s="12"/>
      <c r="X455" s="12"/>
      <c r="AM455" s="12"/>
    </row>
    <row r="456" spans="9:39" x14ac:dyDescent="0.3">
      <c r="I456" s="12"/>
      <c r="N456" s="12"/>
      <c r="S456" s="12"/>
      <c r="X456" s="12"/>
      <c r="AM456" s="12"/>
    </row>
    <row r="457" spans="9:39" x14ac:dyDescent="0.3">
      <c r="I457" s="12"/>
      <c r="N457" s="12"/>
      <c r="S457" s="12"/>
      <c r="X457" s="12"/>
      <c r="AM457" s="12"/>
    </row>
    <row r="458" spans="9:39" x14ac:dyDescent="0.3">
      <c r="I458" s="12"/>
      <c r="N458" s="12"/>
      <c r="S458" s="12"/>
      <c r="X458" s="12"/>
      <c r="AM458" s="12"/>
    </row>
    <row r="459" spans="9:39" x14ac:dyDescent="0.3">
      <c r="I459" s="12"/>
      <c r="N459" s="12"/>
      <c r="S459" s="12"/>
      <c r="X459" s="12"/>
      <c r="AM459" s="12"/>
    </row>
    <row r="460" spans="9:39" x14ac:dyDescent="0.3">
      <c r="I460" s="12"/>
      <c r="N460" s="12"/>
      <c r="S460" s="12"/>
      <c r="X460" s="12"/>
      <c r="AM460" s="12"/>
    </row>
    <row r="461" spans="9:39" x14ac:dyDescent="0.3">
      <c r="I461" s="12"/>
      <c r="N461" s="12"/>
      <c r="S461" s="12"/>
      <c r="X461" s="12"/>
      <c r="AM461" s="12"/>
    </row>
    <row r="462" spans="9:39" x14ac:dyDescent="0.3">
      <c r="I462" s="12"/>
      <c r="N462" s="12"/>
      <c r="S462" s="12"/>
      <c r="X462" s="12"/>
      <c r="AM462" s="12"/>
    </row>
    <row r="463" spans="9:39" x14ac:dyDescent="0.3">
      <c r="I463" s="12"/>
      <c r="N463" s="12"/>
      <c r="S463" s="12"/>
      <c r="X463" s="12"/>
      <c r="AM463" s="12"/>
    </row>
    <row r="464" spans="9:39" x14ac:dyDescent="0.3">
      <c r="I464" s="12"/>
      <c r="N464" s="12"/>
      <c r="S464" s="12"/>
      <c r="X464" s="12"/>
      <c r="AM464" s="12"/>
    </row>
    <row r="465" spans="9:39" x14ac:dyDescent="0.3">
      <c r="I465" s="12"/>
      <c r="N465" s="12"/>
      <c r="S465" s="12"/>
      <c r="X465" s="12"/>
      <c r="AM465" s="12"/>
    </row>
    <row r="466" spans="9:39" x14ac:dyDescent="0.3">
      <c r="I466" s="12"/>
      <c r="N466" s="12"/>
      <c r="S466" s="12"/>
      <c r="X466" s="12"/>
      <c r="AM466" s="12"/>
    </row>
    <row r="467" spans="9:39" x14ac:dyDescent="0.3">
      <c r="I467" s="12"/>
      <c r="N467" s="12"/>
      <c r="S467" s="12"/>
      <c r="X467" s="12"/>
      <c r="AM467" s="12"/>
    </row>
    <row r="468" spans="9:39" x14ac:dyDescent="0.3">
      <c r="I468" s="12"/>
      <c r="N468" s="12"/>
      <c r="S468" s="12"/>
      <c r="X468" s="12"/>
      <c r="AM468" s="12"/>
    </row>
    <row r="469" spans="9:39" x14ac:dyDescent="0.3">
      <c r="I469" s="12"/>
      <c r="N469" s="12"/>
      <c r="S469" s="12"/>
      <c r="X469" s="12"/>
      <c r="AM469" s="12"/>
    </row>
    <row r="470" spans="9:39" x14ac:dyDescent="0.3">
      <c r="I470" s="12"/>
      <c r="N470" s="12"/>
      <c r="S470" s="12"/>
      <c r="X470" s="12"/>
      <c r="AM470" s="12"/>
    </row>
    <row r="471" spans="9:39" x14ac:dyDescent="0.3">
      <c r="I471" s="12"/>
      <c r="N471" s="12"/>
      <c r="S471" s="12"/>
      <c r="X471" s="12"/>
      <c r="AM471" s="12"/>
    </row>
    <row r="472" spans="9:39" x14ac:dyDescent="0.3">
      <c r="I472" s="12"/>
      <c r="N472" s="12"/>
      <c r="S472" s="12"/>
      <c r="X472" s="12"/>
      <c r="AM472" s="12"/>
    </row>
    <row r="473" spans="9:39" x14ac:dyDescent="0.3">
      <c r="I473" s="12"/>
      <c r="N473" s="12"/>
      <c r="S473" s="12"/>
      <c r="X473" s="12"/>
      <c r="AM473" s="12"/>
    </row>
    <row r="474" spans="9:39" x14ac:dyDescent="0.3">
      <c r="I474" s="12"/>
      <c r="N474" s="12"/>
      <c r="S474" s="12"/>
      <c r="X474" s="12"/>
      <c r="AM474" s="12"/>
    </row>
    <row r="475" spans="9:39" x14ac:dyDescent="0.3">
      <c r="I475" s="12"/>
      <c r="N475" s="12"/>
      <c r="S475" s="12"/>
      <c r="X475" s="12"/>
      <c r="AM475" s="12"/>
    </row>
    <row r="476" spans="9:39" x14ac:dyDescent="0.3">
      <c r="I476" s="12"/>
      <c r="N476" s="12"/>
      <c r="S476" s="12"/>
      <c r="X476" s="12"/>
      <c r="AM476" s="12"/>
    </row>
    <row r="477" spans="9:39" x14ac:dyDescent="0.3">
      <c r="I477" s="12"/>
      <c r="N477" s="12"/>
      <c r="S477" s="12"/>
      <c r="X477" s="12"/>
      <c r="AM477" s="12"/>
    </row>
    <row r="478" spans="9:39" x14ac:dyDescent="0.3">
      <c r="I478" s="12"/>
      <c r="N478" s="12"/>
      <c r="S478" s="12"/>
      <c r="X478" s="12"/>
      <c r="AM478" s="12"/>
    </row>
    <row r="479" spans="9:39" x14ac:dyDescent="0.3">
      <c r="I479" s="12"/>
      <c r="N479" s="12"/>
      <c r="S479" s="12"/>
      <c r="X479" s="12"/>
      <c r="AM479" s="12"/>
    </row>
    <row r="480" spans="9:39" x14ac:dyDescent="0.3">
      <c r="I480" s="12"/>
      <c r="N480" s="12"/>
      <c r="S480" s="12"/>
      <c r="X480" s="12"/>
      <c r="AM480" s="12"/>
    </row>
    <row r="481" spans="9:39" x14ac:dyDescent="0.3">
      <c r="I481" s="12"/>
      <c r="N481" s="12"/>
      <c r="S481" s="12"/>
      <c r="X481" s="12"/>
      <c r="AM481" s="12"/>
    </row>
    <row r="482" spans="9:39" x14ac:dyDescent="0.3">
      <c r="I482" s="12"/>
      <c r="N482" s="12"/>
      <c r="S482" s="12"/>
      <c r="X482" s="12"/>
      <c r="AM482" s="12"/>
    </row>
    <row r="483" spans="9:39" x14ac:dyDescent="0.3">
      <c r="I483" s="12"/>
      <c r="N483" s="12"/>
      <c r="S483" s="12"/>
      <c r="X483" s="12"/>
      <c r="AM483" s="12"/>
    </row>
    <row r="484" spans="9:39" x14ac:dyDescent="0.3">
      <c r="I484" s="12"/>
      <c r="N484" s="12"/>
      <c r="S484" s="12"/>
      <c r="X484" s="12"/>
      <c r="AM484" s="12"/>
    </row>
    <row r="485" spans="9:39" x14ac:dyDescent="0.3">
      <c r="I485" s="12"/>
      <c r="N485" s="12"/>
      <c r="S485" s="12"/>
      <c r="X485" s="12"/>
      <c r="AM485" s="12"/>
    </row>
    <row r="486" spans="9:39" x14ac:dyDescent="0.3">
      <c r="I486" s="12"/>
      <c r="N486" s="12"/>
      <c r="S486" s="12"/>
      <c r="X486" s="12"/>
      <c r="AM486" s="12"/>
    </row>
    <row r="487" spans="9:39" x14ac:dyDescent="0.3">
      <c r="I487" s="12"/>
      <c r="N487" s="12"/>
      <c r="S487" s="12"/>
      <c r="X487" s="12"/>
      <c r="AM487" s="12"/>
    </row>
    <row r="488" spans="9:39" x14ac:dyDescent="0.3">
      <c r="I488" s="12"/>
      <c r="N488" s="12"/>
      <c r="S488" s="12"/>
      <c r="X488" s="12"/>
      <c r="AM488" s="12"/>
    </row>
    <row r="489" spans="9:39" x14ac:dyDescent="0.3">
      <c r="I489" s="12"/>
      <c r="N489" s="12"/>
      <c r="S489" s="12"/>
      <c r="X489" s="12"/>
      <c r="AM489" s="12"/>
    </row>
    <row r="490" spans="9:39" x14ac:dyDescent="0.3">
      <c r="I490" s="12"/>
      <c r="N490" s="12"/>
      <c r="S490" s="12"/>
      <c r="X490" s="12"/>
      <c r="AM490" s="12"/>
    </row>
    <row r="491" spans="9:39" x14ac:dyDescent="0.3">
      <c r="I491" s="12"/>
      <c r="N491" s="12"/>
      <c r="S491" s="12"/>
      <c r="X491" s="12"/>
      <c r="AM491" s="12"/>
    </row>
    <row r="492" spans="9:39" x14ac:dyDescent="0.3">
      <c r="I492" s="12"/>
      <c r="N492" s="12"/>
      <c r="S492" s="12"/>
      <c r="X492" s="12"/>
      <c r="AM492" s="12"/>
    </row>
    <row r="493" spans="9:39" x14ac:dyDescent="0.3">
      <c r="I493" s="12"/>
      <c r="N493" s="12"/>
      <c r="S493" s="12"/>
      <c r="X493" s="12"/>
      <c r="AM493" s="12"/>
    </row>
    <row r="494" spans="9:39" x14ac:dyDescent="0.3">
      <c r="I494" s="12"/>
      <c r="N494" s="12"/>
      <c r="S494" s="12"/>
      <c r="X494" s="12"/>
      <c r="AM494" s="12"/>
    </row>
    <row r="495" spans="9:39" x14ac:dyDescent="0.3">
      <c r="I495" s="12"/>
      <c r="N495" s="12"/>
      <c r="S495" s="12"/>
      <c r="X495" s="12"/>
      <c r="AM495" s="12"/>
    </row>
    <row r="496" spans="9:39" x14ac:dyDescent="0.3">
      <c r="I496" s="12"/>
      <c r="N496" s="12"/>
      <c r="S496" s="12"/>
      <c r="X496" s="12"/>
      <c r="AM496" s="12"/>
    </row>
    <row r="497" spans="9:39" x14ac:dyDescent="0.3">
      <c r="I497" s="12"/>
      <c r="N497" s="12"/>
      <c r="S497" s="12"/>
      <c r="X497" s="12"/>
      <c r="AM497" s="12"/>
    </row>
    <row r="498" spans="9:39" x14ac:dyDescent="0.3">
      <c r="I498" s="12"/>
      <c r="N498" s="12"/>
      <c r="S498" s="12"/>
      <c r="X498" s="12"/>
      <c r="AM498" s="12"/>
    </row>
    <row r="499" spans="9:39" x14ac:dyDescent="0.3">
      <c r="I499" s="12"/>
      <c r="N499" s="12"/>
      <c r="S499" s="12"/>
      <c r="X499" s="12"/>
      <c r="AM499" s="12"/>
    </row>
    <row r="500" spans="9:39" x14ac:dyDescent="0.3">
      <c r="I500" s="12"/>
      <c r="N500" s="12"/>
      <c r="S500" s="12"/>
      <c r="X500" s="12"/>
      <c r="AM500" s="12"/>
    </row>
    <row r="501" spans="9:39" x14ac:dyDescent="0.3">
      <c r="I501" s="12"/>
      <c r="N501" s="12"/>
      <c r="S501" s="12"/>
      <c r="X501" s="12"/>
      <c r="AM501" s="12"/>
    </row>
    <row r="502" spans="9:39" x14ac:dyDescent="0.3">
      <c r="I502" s="12"/>
      <c r="N502" s="12"/>
      <c r="S502" s="12"/>
      <c r="X502" s="12"/>
      <c r="AM502" s="12"/>
    </row>
    <row r="503" spans="9:39" x14ac:dyDescent="0.3">
      <c r="I503" s="12"/>
      <c r="N503" s="12"/>
      <c r="S503" s="12"/>
      <c r="X503" s="12"/>
      <c r="AM503" s="12"/>
    </row>
    <row r="504" spans="9:39" x14ac:dyDescent="0.3">
      <c r="I504" s="12"/>
      <c r="N504" s="12"/>
      <c r="S504" s="12"/>
      <c r="X504" s="12"/>
      <c r="AM504" s="12"/>
    </row>
    <row r="505" spans="9:39" x14ac:dyDescent="0.3">
      <c r="I505" s="12"/>
      <c r="N505" s="12"/>
      <c r="S505" s="12"/>
      <c r="X505" s="12"/>
      <c r="AM505" s="12"/>
    </row>
    <row r="506" spans="9:39" x14ac:dyDescent="0.3">
      <c r="I506" s="12"/>
      <c r="N506" s="12"/>
      <c r="S506" s="12"/>
      <c r="X506" s="12"/>
      <c r="AM506" s="12"/>
    </row>
    <row r="507" spans="9:39" x14ac:dyDescent="0.3">
      <c r="I507" s="12"/>
      <c r="N507" s="12"/>
      <c r="S507" s="12"/>
      <c r="X507" s="12"/>
      <c r="AM507" s="12"/>
    </row>
    <row r="508" spans="9:39" x14ac:dyDescent="0.3">
      <c r="I508" s="12"/>
      <c r="N508" s="12"/>
      <c r="S508" s="12"/>
      <c r="X508" s="12"/>
      <c r="AM508" s="12"/>
    </row>
    <row r="509" spans="9:39" x14ac:dyDescent="0.3">
      <c r="I509" s="12"/>
      <c r="N509" s="12"/>
      <c r="S509" s="12"/>
      <c r="X509" s="12"/>
      <c r="AM509" s="12"/>
    </row>
    <row r="510" spans="9:39" x14ac:dyDescent="0.3">
      <c r="I510" s="12"/>
      <c r="N510" s="12"/>
      <c r="S510" s="12"/>
      <c r="X510" s="12"/>
      <c r="AM510" s="12"/>
    </row>
    <row r="511" spans="9:39" x14ac:dyDescent="0.3">
      <c r="I511" s="12"/>
      <c r="N511" s="12"/>
      <c r="S511" s="12"/>
      <c r="X511" s="12"/>
      <c r="AM511" s="12"/>
    </row>
    <row r="512" spans="9:39" x14ac:dyDescent="0.3">
      <c r="I512" s="12"/>
      <c r="N512" s="12"/>
      <c r="S512" s="12"/>
      <c r="X512" s="12"/>
      <c r="AM512" s="12"/>
    </row>
    <row r="513" spans="9:39" x14ac:dyDescent="0.3">
      <c r="I513" s="12"/>
      <c r="N513" s="12"/>
      <c r="S513" s="12"/>
      <c r="X513" s="12"/>
      <c r="AM513" s="12"/>
    </row>
    <row r="514" spans="9:39" x14ac:dyDescent="0.3">
      <c r="I514" s="12"/>
      <c r="N514" s="12"/>
      <c r="S514" s="12"/>
      <c r="X514" s="12"/>
      <c r="AM514" s="12"/>
    </row>
    <row r="515" spans="9:39" x14ac:dyDescent="0.3">
      <c r="I515" s="12"/>
      <c r="N515" s="12"/>
      <c r="S515" s="12"/>
      <c r="X515" s="12"/>
      <c r="AM515" s="12"/>
    </row>
    <row r="516" spans="9:39" x14ac:dyDescent="0.3">
      <c r="I516" s="12"/>
      <c r="N516" s="12"/>
      <c r="S516" s="12"/>
      <c r="X516" s="12"/>
      <c r="AM516" s="12"/>
    </row>
    <row r="517" spans="9:39" x14ac:dyDescent="0.3">
      <c r="I517" s="12"/>
      <c r="N517" s="12"/>
      <c r="S517" s="12"/>
      <c r="X517" s="12"/>
      <c r="AM517" s="12"/>
    </row>
    <row r="518" spans="9:39" x14ac:dyDescent="0.3">
      <c r="I518" s="12"/>
      <c r="N518" s="12"/>
      <c r="S518" s="12"/>
      <c r="X518" s="12"/>
      <c r="AM518" s="12"/>
    </row>
    <row r="519" spans="9:39" x14ac:dyDescent="0.3">
      <c r="I519" s="12"/>
      <c r="N519" s="12"/>
      <c r="S519" s="12"/>
      <c r="X519" s="12"/>
      <c r="AM519" s="12"/>
    </row>
    <row r="520" spans="9:39" x14ac:dyDescent="0.3">
      <c r="I520" s="12"/>
      <c r="N520" s="12"/>
      <c r="S520" s="12"/>
      <c r="X520" s="12"/>
      <c r="AM520" s="12"/>
    </row>
    <row r="521" spans="9:39" x14ac:dyDescent="0.3">
      <c r="I521" s="12"/>
      <c r="N521" s="12"/>
      <c r="S521" s="12"/>
      <c r="X521" s="12"/>
      <c r="AM521" s="12"/>
    </row>
    <row r="522" spans="9:39" x14ac:dyDescent="0.3">
      <c r="I522" s="12"/>
      <c r="N522" s="12"/>
      <c r="S522" s="12"/>
      <c r="X522" s="12"/>
      <c r="AM522" s="12"/>
    </row>
    <row r="523" spans="9:39" x14ac:dyDescent="0.3">
      <c r="I523" s="12"/>
      <c r="N523" s="12"/>
      <c r="S523" s="12"/>
      <c r="X523" s="12"/>
      <c r="AM523" s="12"/>
    </row>
    <row r="524" spans="9:39" x14ac:dyDescent="0.3">
      <c r="I524" s="12"/>
      <c r="N524" s="12"/>
      <c r="S524" s="12"/>
      <c r="X524" s="12"/>
      <c r="AM524" s="12"/>
    </row>
    <row r="525" spans="9:39" x14ac:dyDescent="0.3">
      <c r="I525" s="12"/>
      <c r="N525" s="12"/>
      <c r="S525" s="12"/>
      <c r="X525" s="12"/>
      <c r="AM525" s="12"/>
    </row>
    <row r="526" spans="9:39" x14ac:dyDescent="0.3">
      <c r="I526" s="12"/>
      <c r="N526" s="12"/>
      <c r="S526" s="12"/>
      <c r="X526" s="12"/>
      <c r="AM526" s="12"/>
    </row>
    <row r="527" spans="9:39" x14ac:dyDescent="0.3">
      <c r="I527" s="12"/>
      <c r="N527" s="12"/>
      <c r="S527" s="12"/>
      <c r="X527" s="12"/>
      <c r="AM527" s="12"/>
    </row>
    <row r="528" spans="9:39" x14ac:dyDescent="0.3">
      <c r="I528" s="12"/>
      <c r="N528" s="12"/>
      <c r="S528" s="12"/>
      <c r="X528" s="12"/>
      <c r="AM528" s="12"/>
    </row>
    <row r="529" spans="9:39" x14ac:dyDescent="0.3">
      <c r="I529" s="12"/>
      <c r="N529" s="12"/>
      <c r="S529" s="12"/>
      <c r="X529" s="12"/>
      <c r="AM529" s="12"/>
    </row>
    <row r="530" spans="9:39" x14ac:dyDescent="0.3">
      <c r="I530" s="12"/>
      <c r="N530" s="12"/>
      <c r="S530" s="12"/>
      <c r="X530" s="12"/>
      <c r="AM530" s="12"/>
    </row>
    <row r="531" spans="9:39" x14ac:dyDescent="0.3">
      <c r="I531" s="12"/>
      <c r="N531" s="12"/>
      <c r="S531" s="12"/>
      <c r="X531" s="12"/>
      <c r="AM531" s="12"/>
    </row>
    <row r="532" spans="9:39" x14ac:dyDescent="0.3">
      <c r="I532" s="12"/>
      <c r="N532" s="12"/>
      <c r="S532" s="12"/>
      <c r="X532" s="12"/>
      <c r="AM532" s="12"/>
    </row>
    <row r="533" spans="9:39" x14ac:dyDescent="0.3">
      <c r="I533" s="12"/>
      <c r="N533" s="12"/>
      <c r="S533" s="12"/>
      <c r="X533" s="12"/>
      <c r="AM533" s="12"/>
    </row>
    <row r="534" spans="9:39" x14ac:dyDescent="0.3">
      <c r="I534" s="12"/>
      <c r="N534" s="12"/>
      <c r="S534" s="12"/>
      <c r="X534" s="12"/>
      <c r="AM534" s="12"/>
    </row>
    <row r="535" spans="9:39" x14ac:dyDescent="0.3">
      <c r="I535" s="12"/>
      <c r="N535" s="12"/>
      <c r="S535" s="12"/>
      <c r="X535" s="12"/>
      <c r="AM535" s="12"/>
    </row>
    <row r="536" spans="9:39" x14ac:dyDescent="0.3">
      <c r="I536" s="12"/>
      <c r="N536" s="12"/>
      <c r="S536" s="12"/>
      <c r="X536" s="12"/>
      <c r="AM536" s="12"/>
    </row>
    <row r="537" spans="9:39" x14ac:dyDescent="0.3">
      <c r="I537" s="12"/>
      <c r="N537" s="12"/>
      <c r="S537" s="12"/>
      <c r="X537" s="12"/>
      <c r="AM537" s="12"/>
    </row>
    <row r="538" spans="9:39" x14ac:dyDescent="0.3">
      <c r="I538" s="12"/>
      <c r="N538" s="12"/>
      <c r="S538" s="12"/>
      <c r="X538" s="12"/>
      <c r="AM538" s="12"/>
    </row>
    <row r="539" spans="9:39" x14ac:dyDescent="0.3">
      <c r="I539" s="12"/>
      <c r="N539" s="12"/>
      <c r="S539" s="12"/>
      <c r="X539" s="12"/>
      <c r="AM539" s="12"/>
    </row>
    <row r="540" spans="9:39" x14ac:dyDescent="0.3">
      <c r="I540" s="12"/>
      <c r="N540" s="12"/>
      <c r="S540" s="12"/>
      <c r="X540" s="12"/>
      <c r="AM540" s="12"/>
    </row>
    <row r="541" spans="9:39" x14ac:dyDescent="0.3">
      <c r="I541" s="12"/>
      <c r="N541" s="12"/>
      <c r="S541" s="12"/>
      <c r="X541" s="12"/>
      <c r="AM541" s="12"/>
    </row>
    <row r="542" spans="9:39" x14ac:dyDescent="0.3">
      <c r="I542" s="12"/>
      <c r="N542" s="12"/>
      <c r="S542" s="12"/>
      <c r="X542" s="12"/>
      <c r="AM542" s="12"/>
    </row>
    <row r="543" spans="9:39" x14ac:dyDescent="0.3">
      <c r="I543" s="12"/>
      <c r="N543" s="12"/>
      <c r="S543" s="12"/>
      <c r="X543" s="12"/>
      <c r="AM543" s="12"/>
    </row>
    <row r="544" spans="9:39" x14ac:dyDescent="0.3">
      <c r="I544" s="12"/>
      <c r="N544" s="12"/>
      <c r="S544" s="12"/>
      <c r="X544" s="12"/>
      <c r="AM544" s="12"/>
    </row>
    <row r="545" spans="9:39" x14ac:dyDescent="0.3">
      <c r="I545" s="12"/>
      <c r="N545" s="12"/>
      <c r="S545" s="12"/>
      <c r="X545" s="12"/>
      <c r="AM545" s="12"/>
    </row>
    <row r="546" spans="9:39" x14ac:dyDescent="0.3">
      <c r="I546" s="12"/>
      <c r="N546" s="12"/>
      <c r="S546" s="12"/>
      <c r="X546" s="12"/>
      <c r="AM546" s="12"/>
    </row>
    <row r="547" spans="9:39" x14ac:dyDescent="0.3">
      <c r="I547" s="12"/>
      <c r="N547" s="12"/>
      <c r="S547" s="12"/>
      <c r="X547" s="12"/>
      <c r="AM547" s="12"/>
    </row>
    <row r="548" spans="9:39" x14ac:dyDescent="0.3">
      <c r="I548" s="12"/>
      <c r="N548" s="12"/>
      <c r="S548" s="12"/>
      <c r="X548" s="12"/>
      <c r="AM548" s="12"/>
    </row>
    <row r="549" spans="9:39" x14ac:dyDescent="0.3">
      <c r="I549" s="12"/>
      <c r="N549" s="12"/>
      <c r="S549" s="12"/>
      <c r="X549" s="12"/>
      <c r="AM549" s="12"/>
    </row>
    <row r="550" spans="9:39" x14ac:dyDescent="0.3">
      <c r="I550" s="12"/>
      <c r="N550" s="12"/>
      <c r="S550" s="12"/>
      <c r="X550" s="12"/>
      <c r="AM550" s="12"/>
    </row>
    <row r="551" spans="9:39" x14ac:dyDescent="0.3">
      <c r="I551" s="12"/>
      <c r="N551" s="12"/>
      <c r="S551" s="12"/>
      <c r="X551" s="12"/>
      <c r="AM551" s="12"/>
    </row>
    <row r="552" spans="9:39" x14ac:dyDescent="0.3">
      <c r="I552" s="12"/>
      <c r="N552" s="12"/>
      <c r="S552" s="12"/>
      <c r="X552" s="12"/>
      <c r="AM552" s="12"/>
    </row>
    <row r="553" spans="9:39" x14ac:dyDescent="0.3">
      <c r="I553" s="12"/>
      <c r="N553" s="12"/>
      <c r="S553" s="12"/>
      <c r="X553" s="12"/>
      <c r="AM553" s="12"/>
    </row>
    <row r="554" spans="9:39" x14ac:dyDescent="0.3">
      <c r="I554" s="12"/>
      <c r="N554" s="12"/>
      <c r="S554" s="12"/>
      <c r="X554" s="12"/>
      <c r="AM554" s="12"/>
    </row>
    <row r="555" spans="9:39" x14ac:dyDescent="0.3">
      <c r="I555" s="12"/>
      <c r="N555" s="12"/>
      <c r="S555" s="12"/>
      <c r="X555" s="12"/>
      <c r="AM555" s="12"/>
    </row>
    <row r="556" spans="9:39" x14ac:dyDescent="0.3">
      <c r="I556" s="12"/>
      <c r="N556" s="12"/>
      <c r="S556" s="12"/>
      <c r="X556" s="12"/>
      <c r="AM556" s="12"/>
    </row>
    <row r="557" spans="9:39" x14ac:dyDescent="0.3">
      <c r="I557" s="12"/>
      <c r="N557" s="12"/>
      <c r="S557" s="12"/>
      <c r="X557" s="12"/>
      <c r="AM557" s="12"/>
    </row>
    <row r="558" spans="9:39" x14ac:dyDescent="0.3">
      <c r="I558" s="12"/>
      <c r="N558" s="12"/>
      <c r="S558" s="12"/>
      <c r="X558" s="12"/>
      <c r="AM558" s="12"/>
    </row>
    <row r="559" spans="9:39" x14ac:dyDescent="0.3">
      <c r="I559" s="12"/>
      <c r="N559" s="12"/>
      <c r="S559" s="12"/>
      <c r="X559" s="12"/>
      <c r="AM559" s="12"/>
    </row>
    <row r="560" spans="9:39" x14ac:dyDescent="0.3">
      <c r="I560" s="12"/>
      <c r="N560" s="12"/>
      <c r="S560" s="12"/>
      <c r="X560" s="12"/>
      <c r="AM560" s="12"/>
    </row>
    <row r="561" spans="9:39" x14ac:dyDescent="0.3">
      <c r="I561" s="12"/>
      <c r="N561" s="12"/>
      <c r="S561" s="12"/>
      <c r="X561" s="12"/>
      <c r="AM561" s="12"/>
    </row>
    <row r="562" spans="9:39" x14ac:dyDescent="0.3">
      <c r="I562" s="12"/>
      <c r="N562" s="12"/>
      <c r="S562" s="12"/>
      <c r="X562" s="12"/>
      <c r="AM562" s="12"/>
    </row>
    <row r="563" spans="9:39" x14ac:dyDescent="0.3">
      <c r="I563" s="12"/>
      <c r="N563" s="12"/>
      <c r="S563" s="12"/>
      <c r="X563" s="12"/>
      <c r="AM563" s="12"/>
    </row>
    <row r="564" spans="9:39" x14ac:dyDescent="0.3">
      <c r="I564" s="12"/>
      <c r="N564" s="12"/>
      <c r="S564" s="12"/>
      <c r="X564" s="12"/>
      <c r="AM564" s="12"/>
    </row>
    <row r="565" spans="9:39" x14ac:dyDescent="0.3">
      <c r="I565" s="12"/>
      <c r="N565" s="12"/>
      <c r="S565" s="12"/>
      <c r="X565" s="12"/>
      <c r="AM565" s="12"/>
    </row>
    <row r="566" spans="9:39" x14ac:dyDescent="0.3">
      <c r="I566" s="12"/>
      <c r="N566" s="12"/>
      <c r="S566" s="12"/>
      <c r="X566" s="12"/>
      <c r="AM566" s="12"/>
    </row>
    <row r="567" spans="9:39" x14ac:dyDescent="0.3">
      <c r="I567" s="12"/>
      <c r="N567" s="12"/>
      <c r="S567" s="12"/>
      <c r="X567" s="12"/>
      <c r="AM567" s="12"/>
    </row>
    <row r="568" spans="9:39" x14ac:dyDescent="0.3">
      <c r="I568" s="12"/>
      <c r="N568" s="12"/>
      <c r="S568" s="12"/>
      <c r="X568" s="12"/>
      <c r="AM568" s="12"/>
    </row>
    <row r="569" spans="9:39" x14ac:dyDescent="0.3">
      <c r="I569" s="12"/>
      <c r="N569" s="12"/>
      <c r="S569" s="12"/>
      <c r="X569" s="12"/>
      <c r="AM569" s="12"/>
    </row>
    <row r="570" spans="9:39" x14ac:dyDescent="0.3">
      <c r="I570" s="12"/>
      <c r="N570" s="12"/>
      <c r="S570" s="12"/>
      <c r="X570" s="12"/>
      <c r="AM570" s="12"/>
    </row>
    <row r="571" spans="9:39" x14ac:dyDescent="0.3">
      <c r="I571" s="12"/>
      <c r="N571" s="12"/>
      <c r="S571" s="12"/>
      <c r="X571" s="12"/>
      <c r="AM571" s="12"/>
    </row>
    <row r="572" spans="9:39" x14ac:dyDescent="0.3">
      <c r="I572" s="12"/>
      <c r="N572" s="12"/>
      <c r="S572" s="12"/>
      <c r="X572" s="12"/>
      <c r="AM572" s="12"/>
    </row>
    <row r="573" spans="9:39" x14ac:dyDescent="0.3">
      <c r="I573" s="12"/>
      <c r="N573" s="12"/>
      <c r="S573" s="12"/>
      <c r="X573" s="12"/>
      <c r="AM573" s="12"/>
    </row>
    <row r="574" spans="9:39" x14ac:dyDescent="0.3">
      <c r="I574" s="12"/>
      <c r="N574" s="12"/>
      <c r="S574" s="12"/>
      <c r="X574" s="12"/>
      <c r="AM574" s="12"/>
    </row>
    <row r="575" spans="9:39" x14ac:dyDescent="0.3">
      <c r="I575" s="12"/>
      <c r="N575" s="12"/>
      <c r="S575" s="12"/>
      <c r="X575" s="12"/>
      <c r="AM575" s="12"/>
    </row>
    <row r="576" spans="9:39" x14ac:dyDescent="0.3">
      <c r="I576" s="12"/>
      <c r="N576" s="12"/>
      <c r="S576" s="12"/>
      <c r="X576" s="12"/>
      <c r="AM576" s="12"/>
    </row>
    <row r="577" spans="9:39" x14ac:dyDescent="0.3">
      <c r="I577" s="12"/>
      <c r="N577" s="12"/>
      <c r="S577" s="12"/>
      <c r="X577" s="12"/>
      <c r="AM577" s="12"/>
    </row>
    <row r="578" spans="9:39" x14ac:dyDescent="0.3">
      <c r="I578" s="12"/>
      <c r="N578" s="12"/>
      <c r="S578" s="12"/>
      <c r="X578" s="12"/>
      <c r="AM578" s="12"/>
    </row>
    <row r="579" spans="9:39" x14ac:dyDescent="0.3">
      <c r="I579" s="12"/>
      <c r="N579" s="12"/>
      <c r="S579" s="12"/>
      <c r="X579" s="12"/>
      <c r="AM579" s="12"/>
    </row>
    <row r="580" spans="9:39" x14ac:dyDescent="0.3">
      <c r="I580" s="12"/>
      <c r="N580" s="12"/>
      <c r="S580" s="12"/>
      <c r="X580" s="12"/>
      <c r="AM580" s="12"/>
    </row>
    <row r="581" spans="9:39" x14ac:dyDescent="0.3">
      <c r="I581" s="12"/>
      <c r="N581" s="12"/>
      <c r="S581" s="12"/>
      <c r="X581" s="12"/>
      <c r="AM581" s="12"/>
    </row>
    <row r="582" spans="9:39" x14ac:dyDescent="0.3">
      <c r="I582" s="12"/>
      <c r="N582" s="12"/>
      <c r="S582" s="12"/>
      <c r="X582" s="12"/>
      <c r="AM582" s="12"/>
    </row>
    <row r="583" spans="9:39" x14ac:dyDescent="0.3">
      <c r="I583" s="12"/>
      <c r="N583" s="12"/>
      <c r="S583" s="12"/>
      <c r="X583" s="12"/>
      <c r="AM583" s="12"/>
    </row>
    <row r="584" spans="9:39" x14ac:dyDescent="0.3">
      <c r="I584" s="12"/>
      <c r="N584" s="12"/>
      <c r="S584" s="12"/>
      <c r="X584" s="12"/>
      <c r="AM584" s="12"/>
    </row>
    <row r="585" spans="9:39" x14ac:dyDescent="0.3">
      <c r="I585" s="12"/>
      <c r="N585" s="12"/>
      <c r="S585" s="12"/>
      <c r="X585" s="12"/>
      <c r="AM585" s="12"/>
    </row>
    <row r="586" spans="9:39" x14ac:dyDescent="0.3">
      <c r="I586" s="12"/>
      <c r="N586" s="12"/>
      <c r="S586" s="12"/>
      <c r="X586" s="12"/>
      <c r="AM586" s="12"/>
    </row>
    <row r="587" spans="9:39" x14ac:dyDescent="0.3">
      <c r="I587" s="12"/>
      <c r="N587" s="12"/>
      <c r="S587" s="12"/>
      <c r="X587" s="12"/>
      <c r="AM587" s="12"/>
    </row>
    <row r="588" spans="9:39" x14ac:dyDescent="0.3">
      <c r="I588" s="12"/>
      <c r="N588" s="12"/>
      <c r="S588" s="12"/>
      <c r="X588" s="12"/>
      <c r="AM588" s="12"/>
    </row>
    <row r="589" spans="9:39" x14ac:dyDescent="0.3">
      <c r="I589" s="12"/>
      <c r="N589" s="12"/>
      <c r="S589" s="12"/>
      <c r="X589" s="12"/>
      <c r="AM589" s="12"/>
    </row>
    <row r="590" spans="9:39" x14ac:dyDescent="0.3">
      <c r="I590" s="12"/>
      <c r="N590" s="12"/>
      <c r="S590" s="12"/>
      <c r="X590" s="12"/>
      <c r="AM590" s="12"/>
    </row>
    <row r="591" spans="9:39" x14ac:dyDescent="0.3">
      <c r="I591" s="12"/>
      <c r="N591" s="12"/>
      <c r="S591" s="12"/>
      <c r="X591" s="12"/>
      <c r="AM591" s="12"/>
    </row>
    <row r="592" spans="9:39" x14ac:dyDescent="0.3">
      <c r="I592" s="12"/>
      <c r="N592" s="12"/>
      <c r="S592" s="12"/>
      <c r="X592" s="12"/>
      <c r="AM592" s="12"/>
    </row>
    <row r="593" spans="9:39" x14ac:dyDescent="0.3">
      <c r="I593" s="12"/>
      <c r="N593" s="12"/>
      <c r="S593" s="12"/>
      <c r="X593" s="12"/>
      <c r="AM593" s="12"/>
    </row>
    <row r="594" spans="9:39" x14ac:dyDescent="0.3">
      <c r="I594" s="12"/>
      <c r="N594" s="12"/>
      <c r="S594" s="12"/>
      <c r="X594" s="12"/>
      <c r="AM594" s="12"/>
    </row>
    <row r="595" spans="9:39" x14ac:dyDescent="0.3">
      <c r="I595" s="12"/>
      <c r="N595" s="12"/>
      <c r="S595" s="12"/>
      <c r="X595" s="12"/>
      <c r="AM595" s="12"/>
    </row>
    <row r="596" spans="9:39" x14ac:dyDescent="0.3">
      <c r="I596" s="12"/>
      <c r="N596" s="12"/>
      <c r="S596" s="12"/>
      <c r="X596" s="12"/>
      <c r="AM596" s="12"/>
    </row>
    <row r="597" spans="9:39" x14ac:dyDescent="0.3">
      <c r="I597" s="12"/>
      <c r="N597" s="12"/>
      <c r="S597" s="12"/>
      <c r="X597" s="12"/>
      <c r="AM597" s="12"/>
    </row>
    <row r="598" spans="9:39" x14ac:dyDescent="0.3">
      <c r="I598" s="12"/>
      <c r="N598" s="12"/>
      <c r="S598" s="12"/>
      <c r="X598" s="12"/>
      <c r="AM598" s="12"/>
    </row>
    <row r="599" spans="9:39" x14ac:dyDescent="0.3">
      <c r="I599" s="12"/>
      <c r="N599" s="12"/>
      <c r="S599" s="12"/>
      <c r="X599" s="12"/>
      <c r="AM599" s="12"/>
    </row>
    <row r="600" spans="9:39" x14ac:dyDescent="0.3">
      <c r="I600" s="12"/>
      <c r="N600" s="12"/>
      <c r="S600" s="12"/>
      <c r="X600" s="12"/>
      <c r="AM600" s="12"/>
    </row>
    <row r="601" spans="9:39" x14ac:dyDescent="0.3">
      <c r="I601" s="12"/>
      <c r="N601" s="12"/>
      <c r="S601" s="12"/>
      <c r="X601" s="12"/>
      <c r="AM601" s="12"/>
    </row>
    <row r="602" spans="9:39" x14ac:dyDescent="0.3">
      <c r="I602" s="12"/>
      <c r="N602" s="12"/>
      <c r="S602" s="12"/>
      <c r="X602" s="12"/>
      <c r="AM602" s="12"/>
    </row>
    <row r="603" spans="9:39" x14ac:dyDescent="0.3">
      <c r="I603" s="12"/>
      <c r="N603" s="12"/>
      <c r="S603" s="12"/>
      <c r="X603" s="12"/>
      <c r="AM603" s="12"/>
    </row>
    <row r="604" spans="9:39" x14ac:dyDescent="0.3">
      <c r="I604" s="12"/>
      <c r="N604" s="12"/>
      <c r="S604" s="12"/>
      <c r="X604" s="12"/>
      <c r="AM604" s="12"/>
    </row>
    <row r="605" spans="9:39" x14ac:dyDescent="0.3">
      <c r="I605" s="12"/>
      <c r="N605" s="12"/>
      <c r="S605" s="12"/>
      <c r="X605" s="12"/>
      <c r="AM605" s="12"/>
    </row>
    <row r="606" spans="9:39" x14ac:dyDescent="0.3">
      <c r="I606" s="12"/>
      <c r="N606" s="12"/>
      <c r="S606" s="12"/>
      <c r="X606" s="12"/>
      <c r="AM606" s="12"/>
    </row>
    <row r="607" spans="9:39" x14ac:dyDescent="0.3">
      <c r="I607" s="12"/>
      <c r="N607" s="12"/>
      <c r="S607" s="12"/>
      <c r="X607" s="12"/>
      <c r="AM607" s="12"/>
    </row>
    <row r="608" spans="9:39" x14ac:dyDescent="0.3">
      <c r="I608" s="12"/>
      <c r="N608" s="12"/>
      <c r="S608" s="12"/>
      <c r="X608" s="12"/>
      <c r="AM608" s="12"/>
    </row>
    <row r="609" spans="9:39" x14ac:dyDescent="0.3">
      <c r="I609" s="12"/>
      <c r="N609" s="12"/>
      <c r="S609" s="12"/>
      <c r="X609" s="12"/>
      <c r="AM609" s="12"/>
    </row>
    <row r="610" spans="9:39" x14ac:dyDescent="0.3">
      <c r="I610" s="12"/>
      <c r="N610" s="12"/>
      <c r="S610" s="12"/>
      <c r="X610" s="12"/>
      <c r="AM610" s="12"/>
    </row>
    <row r="611" spans="9:39" x14ac:dyDescent="0.3">
      <c r="I611" s="12"/>
      <c r="N611" s="12"/>
      <c r="S611" s="12"/>
      <c r="X611" s="12"/>
      <c r="AM611" s="12"/>
    </row>
    <row r="612" spans="9:39" x14ac:dyDescent="0.3">
      <c r="I612" s="12"/>
      <c r="N612" s="12"/>
      <c r="S612" s="12"/>
      <c r="X612" s="12"/>
      <c r="AM612" s="12"/>
    </row>
    <row r="613" spans="9:39" x14ac:dyDescent="0.3">
      <c r="I613" s="12"/>
      <c r="N613" s="12"/>
      <c r="S613" s="12"/>
      <c r="X613" s="12"/>
      <c r="AM613" s="12"/>
    </row>
    <row r="614" spans="9:39" x14ac:dyDescent="0.3">
      <c r="I614" s="12"/>
      <c r="N614" s="12"/>
      <c r="S614" s="12"/>
      <c r="X614" s="12"/>
      <c r="AM614" s="12"/>
    </row>
    <row r="615" spans="9:39" x14ac:dyDescent="0.3">
      <c r="I615" s="12"/>
      <c r="N615" s="12"/>
      <c r="S615" s="12"/>
      <c r="X615" s="12"/>
      <c r="AM615" s="12"/>
    </row>
    <row r="616" spans="9:39" x14ac:dyDescent="0.3">
      <c r="I616" s="12"/>
      <c r="N616" s="12"/>
      <c r="S616" s="12"/>
      <c r="X616" s="12"/>
      <c r="AM616" s="12"/>
    </row>
    <row r="617" spans="9:39" x14ac:dyDescent="0.3">
      <c r="I617" s="12"/>
      <c r="N617" s="12"/>
      <c r="S617" s="12"/>
      <c r="X617" s="12"/>
      <c r="AM617" s="12"/>
    </row>
    <row r="618" spans="9:39" x14ac:dyDescent="0.3">
      <c r="I618" s="12"/>
      <c r="N618" s="12"/>
      <c r="S618" s="12"/>
      <c r="X618" s="12"/>
      <c r="AM618" s="12"/>
    </row>
    <row r="619" spans="9:39" x14ac:dyDescent="0.3">
      <c r="I619" s="12"/>
      <c r="N619" s="12"/>
      <c r="S619" s="12"/>
      <c r="X619" s="12"/>
      <c r="AM619" s="12"/>
    </row>
    <row r="620" spans="9:39" x14ac:dyDescent="0.3">
      <c r="I620" s="12"/>
      <c r="N620" s="12"/>
      <c r="S620" s="12"/>
      <c r="X620" s="12"/>
      <c r="AM620" s="12"/>
    </row>
    <row r="621" spans="9:39" x14ac:dyDescent="0.3">
      <c r="I621" s="12"/>
      <c r="N621" s="12"/>
      <c r="S621" s="12"/>
      <c r="X621" s="12"/>
      <c r="AM621" s="12"/>
    </row>
    <row r="622" spans="9:39" x14ac:dyDescent="0.3">
      <c r="I622" s="12"/>
      <c r="N622" s="12"/>
      <c r="S622" s="12"/>
      <c r="X622" s="12"/>
      <c r="AM622" s="12"/>
    </row>
    <row r="623" spans="9:39" x14ac:dyDescent="0.3">
      <c r="I623" s="12"/>
      <c r="N623" s="12"/>
      <c r="S623" s="12"/>
      <c r="X623" s="12"/>
      <c r="AM623" s="12"/>
    </row>
    <row r="624" spans="9:39" x14ac:dyDescent="0.3">
      <c r="I624" s="12"/>
      <c r="N624" s="12"/>
      <c r="S624" s="12"/>
      <c r="X624" s="12"/>
      <c r="AM624" s="12"/>
    </row>
    <row r="625" spans="9:39" x14ac:dyDescent="0.3">
      <c r="I625" s="12"/>
      <c r="N625" s="12"/>
      <c r="S625" s="12"/>
      <c r="X625" s="12"/>
      <c r="AM625" s="12"/>
    </row>
    <row r="626" spans="9:39" x14ac:dyDescent="0.3">
      <c r="I626" s="12"/>
      <c r="N626" s="12"/>
      <c r="S626" s="12"/>
      <c r="X626" s="12"/>
      <c r="AM626" s="12"/>
    </row>
    <row r="627" spans="9:39" x14ac:dyDescent="0.3">
      <c r="I627" s="12"/>
      <c r="N627" s="12"/>
      <c r="S627" s="12"/>
      <c r="X627" s="12"/>
      <c r="AM627" s="12"/>
    </row>
    <row r="628" spans="9:39" x14ac:dyDescent="0.3">
      <c r="I628" s="12"/>
      <c r="N628" s="12"/>
      <c r="S628" s="12"/>
      <c r="X628" s="12"/>
      <c r="AM628" s="12"/>
    </row>
    <row r="629" spans="9:39" x14ac:dyDescent="0.3">
      <c r="I629" s="12"/>
      <c r="N629" s="12"/>
      <c r="S629" s="12"/>
      <c r="X629" s="12"/>
      <c r="AM629" s="12"/>
    </row>
    <row r="630" spans="9:39" x14ac:dyDescent="0.3">
      <c r="I630" s="12"/>
      <c r="N630" s="12"/>
      <c r="S630" s="12"/>
      <c r="X630" s="12"/>
      <c r="AM630" s="12"/>
    </row>
    <row r="631" spans="9:39" x14ac:dyDescent="0.3">
      <c r="I631" s="12"/>
      <c r="N631" s="12"/>
      <c r="S631" s="12"/>
      <c r="X631" s="12"/>
      <c r="AM631" s="12"/>
    </row>
    <row r="632" spans="9:39" x14ac:dyDescent="0.3">
      <c r="I632" s="12"/>
      <c r="N632" s="12"/>
      <c r="S632" s="12"/>
      <c r="X632" s="12"/>
      <c r="AM632" s="12"/>
    </row>
    <row r="633" spans="9:39" x14ac:dyDescent="0.3">
      <c r="I633" s="12"/>
      <c r="N633" s="12"/>
      <c r="S633" s="12"/>
      <c r="X633" s="12"/>
      <c r="AM633" s="12"/>
    </row>
    <row r="634" spans="9:39" x14ac:dyDescent="0.3">
      <c r="I634" s="12"/>
      <c r="N634" s="12"/>
      <c r="S634" s="12"/>
      <c r="X634" s="12"/>
      <c r="AM634" s="12"/>
    </row>
    <row r="635" spans="9:39" x14ac:dyDescent="0.3">
      <c r="I635" s="12"/>
      <c r="N635" s="12"/>
      <c r="S635" s="12"/>
      <c r="X635" s="12"/>
      <c r="AM635" s="12"/>
    </row>
    <row r="636" spans="9:39" x14ac:dyDescent="0.3">
      <c r="I636" s="12"/>
      <c r="N636" s="12"/>
      <c r="S636" s="12"/>
      <c r="X636" s="12"/>
      <c r="AM636" s="12"/>
    </row>
    <row r="637" spans="9:39" x14ac:dyDescent="0.3">
      <c r="I637" s="12"/>
      <c r="N637" s="12"/>
      <c r="S637" s="12"/>
      <c r="X637" s="12"/>
      <c r="AM637" s="12"/>
    </row>
    <row r="638" spans="9:39" x14ac:dyDescent="0.3">
      <c r="I638" s="12"/>
      <c r="N638" s="12"/>
      <c r="S638" s="12"/>
      <c r="X638" s="12"/>
      <c r="AM638" s="12"/>
    </row>
    <row r="639" spans="9:39" x14ac:dyDescent="0.3">
      <c r="I639" s="12"/>
      <c r="N639" s="12"/>
      <c r="S639" s="12"/>
      <c r="X639" s="12"/>
      <c r="AM639" s="12"/>
    </row>
    <row r="640" spans="9:39" x14ac:dyDescent="0.3">
      <c r="I640" s="12"/>
      <c r="N640" s="12"/>
      <c r="S640" s="12"/>
      <c r="X640" s="12"/>
      <c r="AM640" s="12"/>
    </row>
    <row r="641" spans="9:39" x14ac:dyDescent="0.3">
      <c r="I641" s="12"/>
      <c r="N641" s="12"/>
      <c r="S641" s="12"/>
      <c r="X641" s="12"/>
      <c r="AM641" s="12"/>
    </row>
    <row r="642" spans="9:39" x14ac:dyDescent="0.3">
      <c r="I642" s="12"/>
      <c r="N642" s="12"/>
      <c r="S642" s="12"/>
      <c r="X642" s="12"/>
      <c r="AM642" s="12"/>
    </row>
    <row r="643" spans="9:39" x14ac:dyDescent="0.3">
      <c r="I643" s="12"/>
      <c r="N643" s="12"/>
      <c r="S643" s="12"/>
      <c r="X643" s="12"/>
      <c r="AM643" s="12"/>
    </row>
    <row r="644" spans="9:39" x14ac:dyDescent="0.3">
      <c r="I644" s="12"/>
      <c r="N644" s="12"/>
      <c r="S644" s="12"/>
      <c r="X644" s="12"/>
      <c r="AM644" s="12"/>
    </row>
    <row r="645" spans="9:39" x14ac:dyDescent="0.3">
      <c r="I645" s="12"/>
      <c r="N645" s="12"/>
      <c r="S645" s="12"/>
      <c r="X645" s="12"/>
      <c r="AM645" s="12"/>
    </row>
    <row r="646" spans="9:39" x14ac:dyDescent="0.3">
      <c r="I646" s="12"/>
      <c r="N646" s="12"/>
      <c r="S646" s="12"/>
      <c r="X646" s="12"/>
      <c r="AM646" s="12"/>
    </row>
    <row r="647" spans="9:39" x14ac:dyDescent="0.3">
      <c r="I647" s="12"/>
      <c r="N647" s="12"/>
      <c r="S647" s="12"/>
      <c r="X647" s="12"/>
      <c r="AM647" s="12"/>
    </row>
    <row r="648" spans="9:39" x14ac:dyDescent="0.3">
      <c r="I648" s="12"/>
      <c r="N648" s="12"/>
      <c r="S648" s="12"/>
      <c r="X648" s="12"/>
      <c r="AM648" s="12"/>
    </row>
    <row r="649" spans="9:39" x14ac:dyDescent="0.3">
      <c r="I649" s="12"/>
      <c r="N649" s="12"/>
      <c r="S649" s="12"/>
      <c r="X649" s="12"/>
      <c r="AM649" s="12"/>
    </row>
    <row r="650" spans="9:39" x14ac:dyDescent="0.3">
      <c r="I650" s="12"/>
      <c r="N650" s="12"/>
      <c r="S650" s="12"/>
      <c r="X650" s="12"/>
      <c r="AM650" s="12"/>
    </row>
    <row r="651" spans="9:39" x14ac:dyDescent="0.3">
      <c r="I651" s="12"/>
      <c r="N651" s="12"/>
      <c r="S651" s="12"/>
      <c r="X651" s="12"/>
      <c r="AM651" s="12"/>
    </row>
    <row r="652" spans="9:39" x14ac:dyDescent="0.3">
      <c r="I652" s="12"/>
      <c r="N652" s="12"/>
      <c r="S652" s="12"/>
      <c r="X652" s="12"/>
      <c r="AM652" s="12"/>
    </row>
    <row r="653" spans="9:39" x14ac:dyDescent="0.3">
      <c r="I653" s="12"/>
      <c r="N653" s="12"/>
      <c r="S653" s="12"/>
      <c r="X653" s="12"/>
      <c r="AM653" s="12"/>
    </row>
    <row r="654" spans="9:39" x14ac:dyDescent="0.3">
      <c r="I654" s="12"/>
      <c r="N654" s="12"/>
      <c r="S654" s="12"/>
      <c r="X654" s="12"/>
      <c r="AM654" s="12"/>
    </row>
    <row r="655" spans="9:39" x14ac:dyDescent="0.3">
      <c r="I655" s="12"/>
      <c r="N655" s="12"/>
      <c r="S655" s="12"/>
      <c r="X655" s="12"/>
      <c r="AM655" s="12"/>
    </row>
    <row r="656" spans="9:39" x14ac:dyDescent="0.3">
      <c r="I656" s="12"/>
      <c r="N656" s="12"/>
      <c r="S656" s="12"/>
      <c r="X656" s="12"/>
      <c r="AM656" s="12"/>
    </row>
    <row r="657" spans="9:39" x14ac:dyDescent="0.3">
      <c r="I657" s="12"/>
      <c r="N657" s="12"/>
      <c r="S657" s="12"/>
      <c r="X657" s="12"/>
      <c r="AM657" s="12"/>
    </row>
    <row r="658" spans="9:39" x14ac:dyDescent="0.3">
      <c r="I658" s="12"/>
      <c r="N658" s="12"/>
      <c r="S658" s="12"/>
      <c r="X658" s="12"/>
      <c r="AM658" s="12"/>
    </row>
    <row r="659" spans="9:39" x14ac:dyDescent="0.3">
      <c r="I659" s="12"/>
      <c r="N659" s="12"/>
      <c r="S659" s="12"/>
      <c r="X659" s="12"/>
      <c r="AM659" s="12"/>
    </row>
    <row r="660" spans="9:39" x14ac:dyDescent="0.3">
      <c r="I660" s="12"/>
      <c r="N660" s="12"/>
      <c r="S660" s="12"/>
      <c r="X660" s="12"/>
      <c r="AM660" s="12"/>
    </row>
    <row r="661" spans="9:39" x14ac:dyDescent="0.3">
      <c r="I661" s="12"/>
      <c r="N661" s="12"/>
      <c r="S661" s="12"/>
      <c r="X661" s="12"/>
      <c r="AM661" s="12"/>
    </row>
    <row r="662" spans="9:39" x14ac:dyDescent="0.3">
      <c r="I662" s="12"/>
      <c r="N662" s="12"/>
      <c r="S662" s="12"/>
      <c r="X662" s="12"/>
      <c r="AM662" s="12"/>
    </row>
    <row r="663" spans="9:39" x14ac:dyDescent="0.3">
      <c r="I663" s="12"/>
      <c r="N663" s="12"/>
      <c r="S663" s="12"/>
      <c r="X663" s="12"/>
      <c r="AM663" s="12"/>
    </row>
    <row r="664" spans="9:39" x14ac:dyDescent="0.3">
      <c r="I664" s="12"/>
      <c r="N664" s="12"/>
      <c r="S664" s="12"/>
      <c r="X664" s="12"/>
      <c r="AM664" s="12"/>
    </row>
    <row r="665" spans="9:39" x14ac:dyDescent="0.3">
      <c r="I665" s="12"/>
      <c r="N665" s="12"/>
      <c r="S665" s="12"/>
      <c r="X665" s="12"/>
      <c r="AM665" s="12"/>
    </row>
    <row r="666" spans="9:39" x14ac:dyDescent="0.3">
      <c r="I666" s="12"/>
      <c r="N666" s="12"/>
      <c r="S666" s="12"/>
      <c r="X666" s="12"/>
      <c r="AM666" s="12"/>
    </row>
    <row r="667" spans="9:39" x14ac:dyDescent="0.3">
      <c r="I667" s="12"/>
      <c r="N667" s="12"/>
      <c r="S667" s="12"/>
      <c r="X667" s="12"/>
      <c r="AM667" s="12"/>
    </row>
    <row r="668" spans="9:39" x14ac:dyDescent="0.3">
      <c r="I668" s="12"/>
      <c r="N668" s="12"/>
      <c r="S668" s="12"/>
      <c r="X668" s="12"/>
      <c r="AM668" s="12"/>
    </row>
    <row r="669" spans="9:39" x14ac:dyDescent="0.3">
      <c r="I669" s="12"/>
      <c r="N669" s="12"/>
      <c r="S669" s="12"/>
      <c r="X669" s="12"/>
      <c r="AM669" s="12"/>
    </row>
    <row r="670" spans="9:39" x14ac:dyDescent="0.3">
      <c r="I670" s="12"/>
      <c r="N670" s="12"/>
      <c r="S670" s="12"/>
      <c r="X670" s="12"/>
      <c r="AM670" s="12"/>
    </row>
    <row r="671" spans="9:39" x14ac:dyDescent="0.3">
      <c r="I671" s="12"/>
      <c r="N671" s="12"/>
      <c r="S671" s="12"/>
      <c r="X671" s="12"/>
      <c r="AM671" s="12"/>
    </row>
    <row r="672" spans="9:39" x14ac:dyDescent="0.3">
      <c r="I672" s="12"/>
      <c r="N672" s="12"/>
      <c r="S672" s="12"/>
      <c r="X672" s="12"/>
      <c r="AM672" s="12"/>
    </row>
    <row r="673" spans="9:39" x14ac:dyDescent="0.3">
      <c r="I673" s="12"/>
      <c r="N673" s="12"/>
      <c r="S673" s="12"/>
      <c r="X673" s="12"/>
      <c r="AM673" s="12"/>
    </row>
    <row r="674" spans="9:39" x14ac:dyDescent="0.3">
      <c r="I674" s="12"/>
      <c r="N674" s="12"/>
      <c r="S674" s="12"/>
      <c r="X674" s="12"/>
      <c r="AM674" s="12"/>
    </row>
    <row r="675" spans="9:39" x14ac:dyDescent="0.3">
      <c r="I675" s="12"/>
      <c r="N675" s="12"/>
      <c r="S675" s="12"/>
      <c r="X675" s="12"/>
      <c r="AM675" s="12"/>
    </row>
    <row r="676" spans="9:39" x14ac:dyDescent="0.3">
      <c r="I676" s="12"/>
      <c r="N676" s="12"/>
      <c r="S676" s="12"/>
      <c r="X676" s="12"/>
      <c r="AM676" s="12"/>
    </row>
    <row r="677" spans="9:39" x14ac:dyDescent="0.3">
      <c r="I677" s="12"/>
      <c r="N677" s="12"/>
      <c r="S677" s="12"/>
      <c r="X677" s="12"/>
      <c r="AM677" s="12"/>
    </row>
    <row r="678" spans="9:39" x14ac:dyDescent="0.3">
      <c r="I678" s="12"/>
      <c r="N678" s="12"/>
      <c r="S678" s="12"/>
      <c r="X678" s="12"/>
      <c r="AM678" s="12"/>
    </row>
    <row r="679" spans="9:39" x14ac:dyDescent="0.3">
      <c r="I679" s="12"/>
      <c r="N679" s="12"/>
      <c r="S679" s="12"/>
      <c r="X679" s="12"/>
      <c r="AM679" s="12"/>
    </row>
    <row r="680" spans="9:39" x14ac:dyDescent="0.3">
      <c r="I680" s="12"/>
      <c r="N680" s="12"/>
      <c r="S680" s="12"/>
      <c r="X680" s="12"/>
      <c r="AM680" s="12"/>
    </row>
    <row r="681" spans="9:39" x14ac:dyDescent="0.3">
      <c r="I681" s="12"/>
      <c r="N681" s="12"/>
      <c r="S681" s="12"/>
      <c r="X681" s="12"/>
      <c r="AM681" s="12"/>
    </row>
    <row r="682" spans="9:39" x14ac:dyDescent="0.3">
      <c r="I682" s="12"/>
      <c r="N682" s="12"/>
      <c r="S682" s="12"/>
      <c r="X682" s="12"/>
      <c r="AM682" s="12"/>
    </row>
    <row r="683" spans="9:39" x14ac:dyDescent="0.3">
      <c r="I683" s="12"/>
      <c r="N683" s="12"/>
      <c r="S683" s="12"/>
      <c r="X683" s="12"/>
      <c r="AM683" s="12"/>
    </row>
    <row r="684" spans="9:39" x14ac:dyDescent="0.3">
      <c r="I684" s="12"/>
      <c r="N684" s="12"/>
      <c r="S684" s="12"/>
      <c r="X684" s="12"/>
      <c r="AM684" s="12"/>
    </row>
    <row r="685" spans="9:39" x14ac:dyDescent="0.3">
      <c r="I685" s="12"/>
      <c r="N685" s="12"/>
      <c r="S685" s="12"/>
      <c r="X685" s="12"/>
      <c r="AM685" s="12"/>
    </row>
    <row r="686" spans="9:39" x14ac:dyDescent="0.3">
      <c r="I686" s="12"/>
      <c r="N686" s="12"/>
      <c r="S686" s="12"/>
      <c r="X686" s="12"/>
      <c r="AM686" s="12"/>
    </row>
    <row r="687" spans="9:39" x14ac:dyDescent="0.3">
      <c r="I687" s="12"/>
      <c r="N687" s="12"/>
      <c r="S687" s="12"/>
      <c r="X687" s="12"/>
      <c r="AM687" s="12"/>
    </row>
    <row r="688" spans="9:39" x14ac:dyDescent="0.3">
      <c r="I688" s="12"/>
      <c r="N688" s="12"/>
      <c r="S688" s="12"/>
      <c r="X688" s="12"/>
      <c r="AM688" s="12"/>
    </row>
    <row r="689" spans="9:39" x14ac:dyDescent="0.3">
      <c r="I689" s="12"/>
      <c r="N689" s="12"/>
      <c r="S689" s="12"/>
      <c r="X689" s="12"/>
      <c r="AM689" s="12"/>
    </row>
    <row r="690" spans="9:39" x14ac:dyDescent="0.3">
      <c r="I690" s="12"/>
      <c r="N690" s="12"/>
      <c r="S690" s="12"/>
      <c r="X690" s="12"/>
      <c r="AM690" s="12"/>
    </row>
    <row r="691" spans="9:39" x14ac:dyDescent="0.3">
      <c r="I691" s="12"/>
      <c r="N691" s="12"/>
      <c r="S691" s="12"/>
      <c r="X691" s="12"/>
      <c r="AM691" s="12"/>
    </row>
    <row r="692" spans="9:39" x14ac:dyDescent="0.3">
      <c r="I692" s="12"/>
      <c r="N692" s="12"/>
      <c r="S692" s="12"/>
      <c r="X692" s="12"/>
      <c r="AM692" s="12"/>
    </row>
    <row r="693" spans="9:39" x14ac:dyDescent="0.3">
      <c r="I693" s="12"/>
      <c r="N693" s="12"/>
      <c r="S693" s="12"/>
      <c r="X693" s="12"/>
      <c r="AM693" s="12"/>
    </row>
    <row r="694" spans="9:39" x14ac:dyDescent="0.3">
      <c r="I694" s="12"/>
      <c r="N694" s="12"/>
      <c r="S694" s="12"/>
      <c r="X694" s="12"/>
      <c r="AM694" s="12"/>
    </row>
    <row r="695" spans="9:39" x14ac:dyDescent="0.3">
      <c r="I695" s="12"/>
      <c r="N695" s="12"/>
      <c r="S695" s="12"/>
      <c r="X695" s="12"/>
      <c r="AM695" s="12"/>
    </row>
    <row r="696" spans="9:39" x14ac:dyDescent="0.3">
      <c r="I696" s="12"/>
      <c r="N696" s="12"/>
      <c r="S696" s="12"/>
      <c r="X696" s="12"/>
      <c r="AM696" s="12"/>
    </row>
    <row r="697" spans="9:39" x14ac:dyDescent="0.3">
      <c r="I697" s="12"/>
      <c r="N697" s="12"/>
      <c r="S697" s="12"/>
      <c r="X697" s="12"/>
      <c r="AM697" s="12"/>
    </row>
    <row r="698" spans="9:39" x14ac:dyDescent="0.3">
      <c r="I698" s="12"/>
      <c r="N698" s="12"/>
      <c r="S698" s="12"/>
      <c r="X698" s="12"/>
      <c r="AM698" s="12"/>
    </row>
    <row r="699" spans="9:39" x14ac:dyDescent="0.3">
      <c r="I699" s="12"/>
      <c r="N699" s="12"/>
      <c r="S699" s="12"/>
      <c r="X699" s="12"/>
      <c r="AM699" s="12"/>
    </row>
    <row r="700" spans="9:39" x14ac:dyDescent="0.3">
      <c r="I700" s="12"/>
      <c r="N700" s="12"/>
      <c r="S700" s="12"/>
      <c r="X700" s="12"/>
      <c r="AM700" s="12"/>
    </row>
    <row r="701" spans="9:39" x14ac:dyDescent="0.3">
      <c r="I701" s="12"/>
      <c r="N701" s="12"/>
      <c r="S701" s="12"/>
      <c r="X701" s="12"/>
      <c r="AM701" s="12"/>
    </row>
    <row r="702" spans="9:39" x14ac:dyDescent="0.3">
      <c r="I702" s="12"/>
      <c r="N702" s="12"/>
      <c r="S702" s="12"/>
      <c r="X702" s="12"/>
      <c r="AM702" s="12"/>
    </row>
    <row r="703" spans="9:39" x14ac:dyDescent="0.3">
      <c r="I703" s="12"/>
      <c r="N703" s="12"/>
      <c r="S703" s="12"/>
      <c r="X703" s="12"/>
      <c r="AM703" s="12"/>
    </row>
    <row r="704" spans="9:39" x14ac:dyDescent="0.3">
      <c r="I704" s="12"/>
      <c r="N704" s="12"/>
      <c r="S704" s="12"/>
      <c r="X704" s="12"/>
      <c r="AM704" s="12"/>
    </row>
    <row r="705" spans="9:39" x14ac:dyDescent="0.3">
      <c r="I705" s="12"/>
      <c r="N705" s="12"/>
      <c r="S705" s="12"/>
      <c r="X705" s="12"/>
      <c r="AM705" s="12"/>
    </row>
    <row r="706" spans="9:39" x14ac:dyDescent="0.3">
      <c r="I706" s="12"/>
      <c r="N706" s="12"/>
      <c r="S706" s="12"/>
      <c r="X706" s="12"/>
      <c r="AM706" s="12"/>
    </row>
    <row r="707" spans="9:39" x14ac:dyDescent="0.3">
      <c r="I707" s="12"/>
      <c r="N707" s="12"/>
      <c r="S707" s="12"/>
      <c r="X707" s="12"/>
      <c r="AM707" s="12"/>
    </row>
    <row r="708" spans="9:39" x14ac:dyDescent="0.3">
      <c r="I708" s="12"/>
      <c r="N708" s="12"/>
      <c r="S708" s="12"/>
      <c r="X708" s="12"/>
      <c r="AM708" s="12"/>
    </row>
    <row r="709" spans="9:39" x14ac:dyDescent="0.3">
      <c r="I709" s="12"/>
      <c r="N709" s="12"/>
      <c r="S709" s="12"/>
      <c r="X709" s="12"/>
      <c r="AM709" s="12"/>
    </row>
    <row r="710" spans="9:39" x14ac:dyDescent="0.3">
      <c r="I710" s="12"/>
      <c r="N710" s="12"/>
      <c r="S710" s="12"/>
      <c r="X710" s="12"/>
      <c r="AM710" s="12"/>
    </row>
    <row r="711" spans="9:39" x14ac:dyDescent="0.3">
      <c r="I711" s="12"/>
      <c r="N711" s="12"/>
      <c r="S711" s="12"/>
      <c r="X711" s="12"/>
      <c r="AM711" s="12"/>
    </row>
    <row r="712" spans="9:39" x14ac:dyDescent="0.3">
      <c r="I712" s="12"/>
      <c r="N712" s="12"/>
      <c r="S712" s="12"/>
      <c r="X712" s="12"/>
      <c r="AM712" s="12"/>
    </row>
    <row r="713" spans="9:39" x14ac:dyDescent="0.3">
      <c r="I713" s="12"/>
      <c r="N713" s="12"/>
      <c r="S713" s="12"/>
      <c r="X713" s="12"/>
      <c r="AM713" s="12"/>
    </row>
    <row r="714" spans="9:39" x14ac:dyDescent="0.3">
      <c r="I714" s="12"/>
      <c r="N714" s="12"/>
      <c r="S714" s="12"/>
      <c r="X714" s="12"/>
      <c r="AM714" s="12"/>
    </row>
    <row r="715" spans="9:39" x14ac:dyDescent="0.3">
      <c r="I715" s="12"/>
      <c r="N715" s="12"/>
      <c r="S715" s="12"/>
      <c r="X715" s="12"/>
      <c r="AM715" s="12"/>
    </row>
    <row r="716" spans="9:39" x14ac:dyDescent="0.3">
      <c r="I716" s="12"/>
      <c r="N716" s="12"/>
      <c r="S716" s="12"/>
      <c r="X716" s="12"/>
      <c r="AM716" s="12"/>
    </row>
    <row r="717" spans="9:39" x14ac:dyDescent="0.3">
      <c r="I717" s="12"/>
      <c r="N717" s="12"/>
      <c r="S717" s="12"/>
      <c r="X717" s="12"/>
      <c r="AM717" s="12"/>
    </row>
    <row r="718" spans="9:39" x14ac:dyDescent="0.3">
      <c r="I718" s="12"/>
      <c r="N718" s="12"/>
      <c r="S718" s="12"/>
      <c r="X718" s="12"/>
      <c r="AM718" s="12"/>
    </row>
    <row r="719" spans="9:39" x14ac:dyDescent="0.3">
      <c r="I719" s="12"/>
      <c r="N719" s="12"/>
      <c r="S719" s="12"/>
      <c r="X719" s="12"/>
      <c r="AM719" s="12"/>
    </row>
    <row r="720" spans="9:39" x14ac:dyDescent="0.3">
      <c r="I720" s="12"/>
      <c r="N720" s="12"/>
      <c r="S720" s="12"/>
      <c r="X720" s="12"/>
      <c r="AM720" s="12"/>
    </row>
    <row r="721" spans="9:39" x14ac:dyDescent="0.3">
      <c r="I721" s="12"/>
      <c r="N721" s="12"/>
      <c r="S721" s="12"/>
      <c r="X721" s="12"/>
      <c r="AM721" s="12"/>
    </row>
    <row r="722" spans="9:39" x14ac:dyDescent="0.3">
      <c r="I722" s="12"/>
      <c r="N722" s="12"/>
      <c r="S722" s="12"/>
      <c r="X722" s="12"/>
      <c r="AM722" s="12"/>
    </row>
    <row r="723" spans="9:39" x14ac:dyDescent="0.3">
      <c r="I723" s="12"/>
      <c r="N723" s="12"/>
      <c r="S723" s="12"/>
      <c r="X723" s="12"/>
      <c r="AM723" s="12"/>
    </row>
    <row r="724" spans="9:39" x14ac:dyDescent="0.3">
      <c r="I724" s="12"/>
      <c r="N724" s="12"/>
      <c r="S724" s="12"/>
      <c r="X724" s="12"/>
      <c r="AM724" s="12"/>
    </row>
    <row r="725" spans="9:39" x14ac:dyDescent="0.3">
      <c r="I725" s="12"/>
      <c r="N725" s="12"/>
      <c r="S725" s="12"/>
      <c r="X725" s="12"/>
      <c r="AM725" s="12"/>
    </row>
    <row r="726" spans="9:39" x14ac:dyDescent="0.3">
      <c r="I726" s="12"/>
      <c r="N726" s="12"/>
      <c r="S726" s="12"/>
      <c r="X726" s="12"/>
      <c r="AM726" s="12"/>
    </row>
    <row r="727" spans="9:39" x14ac:dyDescent="0.3">
      <c r="I727" s="12"/>
      <c r="N727" s="12"/>
      <c r="S727" s="12"/>
      <c r="X727" s="12"/>
      <c r="AM727" s="12"/>
    </row>
    <row r="728" spans="9:39" x14ac:dyDescent="0.3">
      <c r="I728" s="12"/>
      <c r="N728" s="12"/>
      <c r="S728" s="12"/>
      <c r="X728" s="12"/>
      <c r="AM728" s="12"/>
    </row>
    <row r="729" spans="9:39" x14ac:dyDescent="0.3">
      <c r="I729" s="12"/>
      <c r="N729" s="12"/>
      <c r="S729" s="12"/>
      <c r="X729" s="12"/>
      <c r="AM729" s="12"/>
    </row>
    <row r="730" spans="9:39" x14ac:dyDescent="0.3">
      <c r="I730" s="12"/>
      <c r="N730" s="12"/>
      <c r="S730" s="12"/>
      <c r="X730" s="12"/>
      <c r="AM730" s="12"/>
    </row>
    <row r="731" spans="9:39" x14ac:dyDescent="0.3">
      <c r="I731" s="12"/>
      <c r="N731" s="12"/>
      <c r="S731" s="12"/>
      <c r="X731" s="12"/>
      <c r="AM731" s="12"/>
    </row>
    <row r="732" spans="9:39" x14ac:dyDescent="0.3">
      <c r="I732" s="12"/>
      <c r="N732" s="12"/>
      <c r="S732" s="12"/>
      <c r="X732" s="12"/>
      <c r="AM732" s="12"/>
    </row>
    <row r="733" spans="9:39" x14ac:dyDescent="0.3">
      <c r="I733" s="12"/>
      <c r="N733" s="12"/>
      <c r="S733" s="12"/>
      <c r="X733" s="12"/>
      <c r="AM733" s="12"/>
    </row>
    <row r="734" spans="9:39" x14ac:dyDescent="0.3">
      <c r="I734" s="12"/>
      <c r="N734" s="12"/>
      <c r="S734" s="12"/>
      <c r="X734" s="12"/>
      <c r="AM734" s="12"/>
    </row>
    <row r="735" spans="9:39" x14ac:dyDescent="0.3">
      <c r="I735" s="12"/>
      <c r="N735" s="12"/>
      <c r="S735" s="12"/>
      <c r="X735" s="12"/>
      <c r="AM735" s="12"/>
    </row>
    <row r="736" spans="9:39" x14ac:dyDescent="0.3">
      <c r="I736" s="12"/>
      <c r="N736" s="12"/>
      <c r="S736" s="12"/>
      <c r="X736" s="12"/>
      <c r="AM736" s="12"/>
    </row>
    <row r="737" spans="9:39" x14ac:dyDescent="0.3">
      <c r="I737" s="12"/>
      <c r="N737" s="12"/>
      <c r="S737" s="12"/>
      <c r="X737" s="12"/>
      <c r="AM737" s="12"/>
    </row>
    <row r="738" spans="9:39" x14ac:dyDescent="0.3">
      <c r="I738" s="12"/>
      <c r="N738" s="12"/>
      <c r="S738" s="12"/>
      <c r="X738" s="12"/>
      <c r="AM738" s="12"/>
    </row>
    <row r="739" spans="9:39" x14ac:dyDescent="0.3">
      <c r="I739" s="12"/>
      <c r="N739" s="12"/>
      <c r="S739" s="12"/>
      <c r="X739" s="12"/>
      <c r="AM739" s="12"/>
    </row>
    <row r="740" spans="9:39" x14ac:dyDescent="0.3">
      <c r="I740" s="12"/>
      <c r="N740" s="12"/>
      <c r="S740" s="12"/>
      <c r="X740" s="12"/>
      <c r="AM740" s="12"/>
    </row>
    <row r="741" spans="9:39" x14ac:dyDescent="0.3">
      <c r="I741" s="12"/>
      <c r="N741" s="12"/>
      <c r="S741" s="12"/>
      <c r="X741" s="12"/>
      <c r="AM741" s="12"/>
    </row>
    <row r="742" spans="9:39" x14ac:dyDescent="0.3">
      <c r="I742" s="12"/>
      <c r="N742" s="12"/>
      <c r="S742" s="12"/>
      <c r="X742" s="12"/>
      <c r="AM742" s="12"/>
    </row>
    <row r="743" spans="9:39" x14ac:dyDescent="0.3">
      <c r="I743" s="12"/>
      <c r="N743" s="12"/>
      <c r="S743" s="12"/>
      <c r="X743" s="12"/>
      <c r="AM743" s="12"/>
    </row>
    <row r="744" spans="9:39" x14ac:dyDescent="0.3">
      <c r="I744" s="12"/>
      <c r="N744" s="12"/>
      <c r="S744" s="12"/>
      <c r="X744" s="12"/>
      <c r="AM744" s="12"/>
    </row>
    <row r="745" spans="9:39" x14ac:dyDescent="0.3">
      <c r="I745" s="12"/>
      <c r="N745" s="12"/>
      <c r="S745" s="12"/>
      <c r="X745" s="12"/>
      <c r="AM745" s="12"/>
    </row>
    <row r="746" spans="9:39" x14ac:dyDescent="0.3">
      <c r="I746" s="12"/>
      <c r="N746" s="12"/>
      <c r="S746" s="12"/>
      <c r="X746" s="12"/>
      <c r="AM746" s="12"/>
    </row>
    <row r="747" spans="9:39" x14ac:dyDescent="0.3">
      <c r="I747" s="12"/>
      <c r="N747" s="12"/>
      <c r="S747" s="12"/>
      <c r="X747" s="12"/>
      <c r="AM747" s="12"/>
    </row>
    <row r="748" spans="9:39" x14ac:dyDescent="0.3">
      <c r="I748" s="12"/>
      <c r="N748" s="12"/>
      <c r="S748" s="12"/>
      <c r="X748" s="12"/>
      <c r="AM748" s="12"/>
    </row>
    <row r="749" spans="9:39" x14ac:dyDescent="0.3">
      <c r="I749" s="12"/>
      <c r="N749" s="12"/>
      <c r="S749" s="12"/>
      <c r="X749" s="12"/>
      <c r="AM749" s="12"/>
    </row>
    <row r="750" spans="9:39" x14ac:dyDescent="0.3">
      <c r="I750" s="12"/>
      <c r="N750" s="12"/>
      <c r="S750" s="12"/>
      <c r="X750" s="12"/>
      <c r="AM750" s="12"/>
    </row>
    <row r="751" spans="9:39" x14ac:dyDescent="0.3">
      <c r="I751" s="12"/>
      <c r="N751" s="12"/>
      <c r="S751" s="12"/>
      <c r="X751" s="12"/>
      <c r="AM751" s="12"/>
    </row>
    <row r="752" spans="9:39" x14ac:dyDescent="0.3">
      <c r="I752" s="12"/>
      <c r="N752" s="12"/>
      <c r="S752" s="12"/>
      <c r="X752" s="12"/>
      <c r="AM752" s="12"/>
    </row>
    <row r="753" spans="9:39" x14ac:dyDescent="0.3">
      <c r="I753" s="12"/>
      <c r="N753" s="12"/>
      <c r="S753" s="12"/>
      <c r="X753" s="12"/>
      <c r="AM753" s="12"/>
    </row>
    <row r="754" spans="9:39" x14ac:dyDescent="0.3">
      <c r="I754" s="12"/>
      <c r="N754" s="12"/>
      <c r="S754" s="12"/>
      <c r="X754" s="12"/>
      <c r="AM754" s="12"/>
    </row>
    <row r="755" spans="9:39" x14ac:dyDescent="0.3">
      <c r="I755" s="12"/>
      <c r="N755" s="12"/>
      <c r="S755" s="12"/>
      <c r="X755" s="12"/>
      <c r="AM755" s="12"/>
    </row>
    <row r="756" spans="9:39" x14ac:dyDescent="0.3">
      <c r="I756" s="12"/>
      <c r="N756" s="12"/>
      <c r="S756" s="12"/>
      <c r="X756" s="12"/>
      <c r="AM756" s="12"/>
    </row>
    <row r="757" spans="9:39" x14ac:dyDescent="0.3">
      <c r="I757" s="12"/>
      <c r="N757" s="12"/>
      <c r="S757" s="12"/>
      <c r="X757" s="12"/>
      <c r="AM757" s="12"/>
    </row>
    <row r="758" spans="9:39" x14ac:dyDescent="0.3">
      <c r="I758" s="12"/>
      <c r="N758" s="12"/>
      <c r="S758" s="12"/>
      <c r="X758" s="12"/>
      <c r="AM758" s="12"/>
    </row>
    <row r="759" spans="9:39" x14ac:dyDescent="0.3">
      <c r="I759" s="12"/>
      <c r="N759" s="12"/>
      <c r="S759" s="12"/>
      <c r="X759" s="12"/>
      <c r="AM759" s="12"/>
    </row>
    <row r="760" spans="9:39" x14ac:dyDescent="0.3">
      <c r="I760" s="12"/>
      <c r="N760" s="12"/>
      <c r="S760" s="12"/>
      <c r="X760" s="12"/>
      <c r="AM760" s="12"/>
    </row>
    <row r="761" spans="9:39" x14ac:dyDescent="0.3">
      <c r="I761" s="12"/>
      <c r="N761" s="12"/>
      <c r="S761" s="12"/>
      <c r="X761" s="12"/>
      <c r="AM761" s="12"/>
    </row>
    <row r="762" spans="9:39" x14ac:dyDescent="0.3">
      <c r="I762" s="12"/>
      <c r="N762" s="12"/>
      <c r="S762" s="12"/>
      <c r="X762" s="12"/>
      <c r="AM762" s="12"/>
    </row>
    <row r="763" spans="9:39" x14ac:dyDescent="0.3">
      <c r="I763" s="12"/>
      <c r="N763" s="12"/>
      <c r="S763" s="12"/>
      <c r="X763" s="12"/>
      <c r="AM763" s="12"/>
    </row>
    <row r="764" spans="9:39" x14ac:dyDescent="0.3">
      <c r="I764" s="12"/>
      <c r="N764" s="12"/>
      <c r="S764" s="12"/>
      <c r="X764" s="12"/>
      <c r="AM764" s="12"/>
    </row>
    <row r="765" spans="9:39" x14ac:dyDescent="0.3">
      <c r="I765" s="12"/>
      <c r="N765" s="12"/>
      <c r="S765" s="12"/>
      <c r="X765" s="12"/>
      <c r="AM765" s="12"/>
    </row>
    <row r="766" spans="9:39" x14ac:dyDescent="0.3">
      <c r="I766" s="12"/>
      <c r="N766" s="12"/>
      <c r="S766" s="12"/>
      <c r="X766" s="12"/>
      <c r="AM766" s="12"/>
    </row>
    <row r="767" spans="9:39" x14ac:dyDescent="0.3">
      <c r="I767" s="12"/>
      <c r="N767" s="12"/>
      <c r="S767" s="12"/>
      <c r="X767" s="12"/>
      <c r="AM767" s="12"/>
    </row>
    <row r="768" spans="9:39" x14ac:dyDescent="0.3">
      <c r="I768" s="12"/>
      <c r="N768" s="12"/>
      <c r="S768" s="12"/>
      <c r="X768" s="12"/>
      <c r="AM768" s="12"/>
    </row>
    <row r="769" spans="9:39" x14ac:dyDescent="0.3">
      <c r="I769" s="12"/>
      <c r="N769" s="12"/>
      <c r="S769" s="12"/>
      <c r="X769" s="12"/>
      <c r="AM769" s="12"/>
    </row>
    <row r="770" spans="9:39" x14ac:dyDescent="0.3">
      <c r="I770" s="12"/>
      <c r="N770" s="12"/>
      <c r="S770" s="12"/>
      <c r="X770" s="12"/>
      <c r="AM770" s="12"/>
    </row>
    <row r="771" spans="9:39" x14ac:dyDescent="0.3">
      <c r="I771" s="12"/>
      <c r="N771" s="12"/>
      <c r="S771" s="12"/>
      <c r="X771" s="12"/>
      <c r="AM771" s="12"/>
    </row>
    <row r="772" spans="9:39" x14ac:dyDescent="0.3">
      <c r="I772" s="12"/>
      <c r="N772" s="12"/>
      <c r="S772" s="12"/>
      <c r="X772" s="12"/>
      <c r="AM772" s="12"/>
    </row>
    <row r="773" spans="9:39" x14ac:dyDescent="0.3">
      <c r="I773" s="12"/>
      <c r="N773" s="12"/>
      <c r="S773" s="12"/>
      <c r="X773" s="12"/>
      <c r="AM773" s="12"/>
    </row>
    <row r="774" spans="9:39" x14ac:dyDescent="0.3">
      <c r="I774" s="12"/>
      <c r="N774" s="12"/>
      <c r="S774" s="12"/>
      <c r="X774" s="12"/>
      <c r="AM774" s="12"/>
    </row>
    <row r="775" spans="9:39" x14ac:dyDescent="0.3">
      <c r="I775" s="12"/>
      <c r="N775" s="12"/>
      <c r="S775" s="12"/>
      <c r="X775" s="12"/>
      <c r="AM775" s="12"/>
    </row>
    <row r="776" spans="9:39" x14ac:dyDescent="0.3">
      <c r="I776" s="12"/>
      <c r="N776" s="12"/>
      <c r="S776" s="12"/>
      <c r="X776" s="12"/>
      <c r="AM776" s="12"/>
    </row>
    <row r="777" spans="9:39" x14ac:dyDescent="0.3">
      <c r="I777" s="12"/>
      <c r="N777" s="12"/>
      <c r="S777" s="12"/>
      <c r="X777" s="12"/>
      <c r="AM777" s="12"/>
    </row>
    <row r="778" spans="9:39" x14ac:dyDescent="0.3">
      <c r="I778" s="12"/>
      <c r="N778" s="12"/>
      <c r="S778" s="12"/>
      <c r="X778" s="12"/>
      <c r="AM778" s="12"/>
    </row>
    <row r="779" spans="9:39" x14ac:dyDescent="0.3">
      <c r="I779" s="12"/>
      <c r="N779" s="12"/>
      <c r="S779" s="12"/>
      <c r="X779" s="12"/>
      <c r="AM779" s="12"/>
    </row>
    <row r="780" spans="9:39" x14ac:dyDescent="0.3">
      <c r="I780" s="12"/>
      <c r="N780" s="12"/>
      <c r="S780" s="12"/>
      <c r="X780" s="12"/>
      <c r="AM780" s="12"/>
    </row>
    <row r="781" spans="9:39" x14ac:dyDescent="0.3">
      <c r="I781" s="12"/>
      <c r="N781" s="12"/>
      <c r="S781" s="12"/>
      <c r="X781" s="12"/>
      <c r="AM781" s="12"/>
    </row>
    <row r="782" spans="9:39" x14ac:dyDescent="0.3">
      <c r="I782" s="12"/>
      <c r="N782" s="12"/>
      <c r="S782" s="12"/>
      <c r="X782" s="12"/>
      <c r="AM782" s="12"/>
    </row>
    <row r="783" spans="9:39" x14ac:dyDescent="0.3">
      <c r="I783" s="12"/>
      <c r="N783" s="12"/>
      <c r="S783" s="12"/>
      <c r="X783" s="12"/>
      <c r="AM783" s="12"/>
    </row>
    <row r="784" spans="9:39" x14ac:dyDescent="0.3">
      <c r="I784" s="12"/>
      <c r="N784" s="12"/>
      <c r="S784" s="12"/>
      <c r="X784" s="12"/>
      <c r="AM784" s="12"/>
    </row>
    <row r="785" spans="9:39" x14ac:dyDescent="0.3">
      <c r="I785" s="12"/>
      <c r="N785" s="12"/>
      <c r="S785" s="12"/>
      <c r="X785" s="12"/>
      <c r="AM785" s="12"/>
    </row>
    <row r="786" spans="9:39" x14ac:dyDescent="0.3">
      <c r="I786" s="12"/>
      <c r="N786" s="12"/>
      <c r="S786" s="12"/>
      <c r="X786" s="12"/>
      <c r="AM786" s="12"/>
    </row>
    <row r="787" spans="9:39" x14ac:dyDescent="0.3">
      <c r="I787" s="12"/>
      <c r="N787" s="12"/>
      <c r="S787" s="12"/>
      <c r="X787" s="12"/>
      <c r="AM787" s="12"/>
    </row>
    <row r="788" spans="9:39" x14ac:dyDescent="0.3">
      <c r="I788" s="12"/>
      <c r="N788" s="12"/>
      <c r="S788" s="12"/>
      <c r="X788" s="12"/>
      <c r="AM788" s="12"/>
    </row>
    <row r="789" spans="9:39" x14ac:dyDescent="0.3">
      <c r="I789" s="12"/>
      <c r="N789" s="12"/>
      <c r="S789" s="12"/>
      <c r="X789" s="12"/>
      <c r="AM789" s="12"/>
    </row>
    <row r="790" spans="9:39" x14ac:dyDescent="0.3">
      <c r="I790" s="12"/>
      <c r="N790" s="12"/>
      <c r="S790" s="12"/>
      <c r="X790" s="12"/>
      <c r="AM790" s="12"/>
    </row>
    <row r="791" spans="9:39" x14ac:dyDescent="0.3">
      <c r="I791" s="12"/>
      <c r="N791" s="12"/>
      <c r="S791" s="12"/>
      <c r="X791" s="12"/>
      <c r="AM791" s="12"/>
    </row>
    <row r="792" spans="9:39" x14ac:dyDescent="0.3">
      <c r="I792" s="12"/>
      <c r="N792" s="12"/>
      <c r="S792" s="12"/>
      <c r="X792" s="12"/>
      <c r="AM792" s="12"/>
    </row>
    <row r="793" spans="9:39" x14ac:dyDescent="0.3">
      <c r="I793" s="12"/>
      <c r="N793" s="12"/>
      <c r="S793" s="12"/>
      <c r="X793" s="12"/>
      <c r="AM793" s="12"/>
    </row>
    <row r="794" spans="9:39" x14ac:dyDescent="0.3">
      <c r="I794" s="12"/>
      <c r="N794" s="12"/>
      <c r="S794" s="12"/>
      <c r="X794" s="12"/>
      <c r="AM794" s="12"/>
    </row>
    <row r="795" spans="9:39" x14ac:dyDescent="0.3">
      <c r="I795" s="12"/>
      <c r="N795" s="12"/>
      <c r="S795" s="12"/>
      <c r="X795" s="12"/>
      <c r="AM795" s="12"/>
    </row>
    <row r="796" spans="9:39" x14ac:dyDescent="0.3">
      <c r="I796" s="12"/>
      <c r="N796" s="12"/>
      <c r="S796" s="12"/>
      <c r="X796" s="12"/>
      <c r="AM796" s="12"/>
    </row>
    <row r="797" spans="9:39" x14ac:dyDescent="0.3">
      <c r="I797" s="12"/>
      <c r="N797" s="12"/>
      <c r="S797" s="12"/>
      <c r="X797" s="12"/>
      <c r="AM797" s="12"/>
    </row>
    <row r="798" spans="9:39" x14ac:dyDescent="0.3">
      <c r="I798" s="12"/>
      <c r="N798" s="12"/>
      <c r="S798" s="12"/>
      <c r="X798" s="12"/>
      <c r="AM798" s="12"/>
    </row>
    <row r="799" spans="9:39" x14ac:dyDescent="0.3">
      <c r="I799" s="12"/>
      <c r="N799" s="12"/>
      <c r="S799" s="12"/>
      <c r="X799" s="12"/>
      <c r="AM799" s="12"/>
    </row>
    <row r="800" spans="9:39" x14ac:dyDescent="0.3">
      <c r="I800" s="12"/>
      <c r="N800" s="12"/>
      <c r="S800" s="12"/>
      <c r="X800" s="12"/>
      <c r="AM800" s="12"/>
    </row>
    <row r="801" spans="9:39" x14ac:dyDescent="0.3">
      <c r="I801" s="12"/>
      <c r="N801" s="12"/>
      <c r="S801" s="12"/>
      <c r="X801" s="12"/>
      <c r="AM801" s="12"/>
    </row>
    <row r="802" spans="9:39" x14ac:dyDescent="0.3">
      <c r="I802" s="12"/>
      <c r="N802" s="12"/>
      <c r="S802" s="12"/>
      <c r="X802" s="12"/>
      <c r="AM802" s="12"/>
    </row>
    <row r="803" spans="9:39" x14ac:dyDescent="0.3">
      <c r="I803" s="12"/>
      <c r="N803" s="12"/>
      <c r="S803" s="12"/>
      <c r="X803" s="12"/>
      <c r="AM803" s="12"/>
    </row>
    <row r="804" spans="9:39" x14ac:dyDescent="0.3">
      <c r="I804" s="12"/>
      <c r="N804" s="12"/>
      <c r="S804" s="12"/>
      <c r="X804" s="12"/>
      <c r="AM804" s="12"/>
    </row>
    <row r="805" spans="9:39" x14ac:dyDescent="0.3">
      <c r="I805" s="12"/>
      <c r="N805" s="12"/>
      <c r="S805" s="12"/>
      <c r="X805" s="12"/>
      <c r="AM805" s="12"/>
    </row>
    <row r="806" spans="9:39" x14ac:dyDescent="0.3">
      <c r="I806" s="12"/>
      <c r="N806" s="12"/>
      <c r="S806" s="12"/>
      <c r="X806" s="12"/>
      <c r="AM806" s="12"/>
    </row>
    <row r="807" spans="9:39" x14ac:dyDescent="0.3">
      <c r="I807" s="12"/>
      <c r="N807" s="12"/>
      <c r="S807" s="12"/>
      <c r="X807" s="12"/>
      <c r="AM807" s="12"/>
    </row>
    <row r="808" spans="9:39" x14ac:dyDescent="0.3">
      <c r="I808" s="12"/>
      <c r="N808" s="12"/>
      <c r="S808" s="12"/>
      <c r="X808" s="12"/>
      <c r="AM808" s="12"/>
    </row>
    <row r="809" spans="9:39" x14ac:dyDescent="0.3">
      <c r="I809" s="12"/>
      <c r="N809" s="12"/>
      <c r="S809" s="12"/>
      <c r="X809" s="12"/>
      <c r="AM809" s="12"/>
    </row>
    <row r="810" spans="9:39" x14ac:dyDescent="0.3">
      <c r="I810" s="12"/>
      <c r="N810" s="12"/>
      <c r="S810" s="12"/>
      <c r="X810" s="12"/>
      <c r="AM810" s="12"/>
    </row>
    <row r="811" spans="9:39" x14ac:dyDescent="0.3">
      <c r="I811" s="12"/>
      <c r="N811" s="12"/>
      <c r="S811" s="12"/>
      <c r="X811" s="12"/>
      <c r="AM811" s="12"/>
    </row>
    <row r="812" spans="9:39" x14ac:dyDescent="0.3">
      <c r="I812" s="12"/>
      <c r="N812" s="12"/>
      <c r="S812" s="12"/>
      <c r="X812" s="12"/>
      <c r="AM812" s="12"/>
    </row>
    <row r="813" spans="9:39" x14ac:dyDescent="0.3">
      <c r="I813" s="12"/>
      <c r="N813" s="12"/>
      <c r="S813" s="12"/>
      <c r="X813" s="12"/>
      <c r="AM813" s="12"/>
    </row>
    <row r="814" spans="9:39" x14ac:dyDescent="0.3">
      <c r="I814" s="12"/>
      <c r="N814" s="12"/>
      <c r="S814" s="12"/>
      <c r="X814" s="12"/>
      <c r="AM814" s="12"/>
    </row>
    <row r="815" spans="9:39" x14ac:dyDescent="0.3">
      <c r="I815" s="12"/>
      <c r="N815" s="12"/>
      <c r="S815" s="12"/>
      <c r="X815" s="12"/>
      <c r="AM815" s="12"/>
    </row>
    <row r="816" spans="9:39" x14ac:dyDescent="0.3">
      <c r="I816" s="12"/>
      <c r="N816" s="12"/>
      <c r="S816" s="12"/>
      <c r="X816" s="12"/>
      <c r="AM816" s="12"/>
    </row>
    <row r="817" spans="9:39" x14ac:dyDescent="0.3">
      <c r="I817" s="12"/>
      <c r="N817" s="12"/>
      <c r="S817" s="12"/>
      <c r="X817" s="12"/>
      <c r="AM817" s="12"/>
    </row>
    <row r="818" spans="9:39" x14ac:dyDescent="0.3">
      <c r="I818" s="12"/>
      <c r="N818" s="12"/>
      <c r="S818" s="12"/>
      <c r="X818" s="12"/>
      <c r="AM818" s="12"/>
    </row>
    <row r="819" spans="9:39" x14ac:dyDescent="0.3">
      <c r="I819" s="12"/>
      <c r="N819" s="12"/>
      <c r="S819" s="12"/>
      <c r="X819" s="12"/>
      <c r="AM819" s="12"/>
    </row>
    <row r="820" spans="9:39" x14ac:dyDescent="0.3">
      <c r="I820" s="12"/>
      <c r="N820" s="12"/>
      <c r="S820" s="12"/>
      <c r="X820" s="12"/>
      <c r="AM820" s="12"/>
    </row>
    <row r="821" spans="9:39" x14ac:dyDescent="0.3">
      <c r="I821" s="12"/>
      <c r="N821" s="12"/>
      <c r="S821" s="12"/>
      <c r="X821" s="12"/>
      <c r="AM821" s="12"/>
    </row>
    <row r="822" spans="9:39" x14ac:dyDescent="0.3">
      <c r="I822" s="12"/>
      <c r="N822" s="12"/>
      <c r="S822" s="12"/>
      <c r="X822" s="12"/>
      <c r="AM822" s="12"/>
    </row>
    <row r="823" spans="9:39" x14ac:dyDescent="0.3">
      <c r="I823" s="12"/>
      <c r="N823" s="12"/>
      <c r="S823" s="12"/>
      <c r="X823" s="12"/>
      <c r="AM823" s="12"/>
    </row>
    <row r="824" spans="9:39" x14ac:dyDescent="0.3">
      <c r="I824" s="12"/>
      <c r="N824" s="12"/>
      <c r="S824" s="12"/>
      <c r="X824" s="12"/>
      <c r="AM824" s="12"/>
    </row>
    <row r="825" spans="9:39" x14ac:dyDescent="0.3">
      <c r="I825" s="12"/>
      <c r="N825" s="12"/>
      <c r="S825" s="12"/>
      <c r="X825" s="12"/>
      <c r="AM825" s="12"/>
    </row>
    <row r="826" spans="9:39" x14ac:dyDescent="0.3">
      <c r="I826" s="12"/>
      <c r="N826" s="12"/>
      <c r="S826" s="12"/>
      <c r="X826" s="12"/>
      <c r="AM826" s="12"/>
    </row>
    <row r="827" spans="9:39" x14ac:dyDescent="0.3">
      <c r="I827" s="12"/>
      <c r="N827" s="12"/>
      <c r="S827" s="12"/>
      <c r="X827" s="12"/>
      <c r="AM827" s="12"/>
    </row>
    <row r="828" spans="9:39" x14ac:dyDescent="0.3">
      <c r="I828" s="12"/>
      <c r="N828" s="12"/>
      <c r="S828" s="12"/>
      <c r="X828" s="12"/>
      <c r="AM828" s="12"/>
    </row>
    <row r="829" spans="9:39" x14ac:dyDescent="0.3">
      <c r="I829" s="12"/>
      <c r="N829" s="12"/>
      <c r="S829" s="12"/>
      <c r="X829" s="12"/>
      <c r="AM829" s="12"/>
    </row>
    <row r="830" spans="9:39" x14ac:dyDescent="0.3">
      <c r="I830" s="12"/>
      <c r="N830" s="12"/>
      <c r="S830" s="12"/>
      <c r="X830" s="12"/>
      <c r="AM830" s="12"/>
    </row>
    <row r="831" spans="9:39" x14ac:dyDescent="0.3">
      <c r="I831" s="12"/>
      <c r="N831" s="12"/>
      <c r="S831" s="12"/>
      <c r="X831" s="12"/>
      <c r="AM831" s="12"/>
    </row>
    <row r="832" spans="9:39" x14ac:dyDescent="0.3">
      <c r="I832" s="12"/>
      <c r="N832" s="12"/>
      <c r="S832" s="12"/>
      <c r="X832" s="12"/>
      <c r="AM832" s="12"/>
    </row>
    <row r="833" spans="9:39" x14ac:dyDescent="0.3">
      <c r="I833" s="12"/>
      <c r="N833" s="12"/>
      <c r="S833" s="12"/>
      <c r="X833" s="12"/>
      <c r="AM833" s="12"/>
    </row>
    <row r="834" spans="9:39" x14ac:dyDescent="0.3">
      <c r="I834" s="12"/>
      <c r="N834" s="12"/>
      <c r="S834" s="12"/>
      <c r="X834" s="12"/>
      <c r="AM834" s="12"/>
    </row>
    <row r="835" spans="9:39" x14ac:dyDescent="0.3">
      <c r="I835" s="12"/>
      <c r="N835" s="12"/>
      <c r="S835" s="12"/>
      <c r="X835" s="12"/>
      <c r="AM835" s="12"/>
    </row>
    <row r="836" spans="9:39" x14ac:dyDescent="0.3">
      <c r="I836" s="12"/>
      <c r="N836" s="12"/>
      <c r="S836" s="12"/>
      <c r="X836" s="12"/>
      <c r="AM836" s="12"/>
    </row>
    <row r="837" spans="9:39" x14ac:dyDescent="0.3">
      <c r="I837" s="12"/>
      <c r="N837" s="12"/>
      <c r="S837" s="12"/>
      <c r="X837" s="12"/>
      <c r="AM837" s="12"/>
    </row>
    <row r="838" spans="9:39" x14ac:dyDescent="0.3">
      <c r="I838" s="12"/>
      <c r="N838" s="12"/>
      <c r="S838" s="12"/>
      <c r="X838" s="12"/>
      <c r="AM838" s="12"/>
    </row>
    <row r="839" spans="9:39" x14ac:dyDescent="0.3">
      <c r="I839" s="12"/>
      <c r="N839" s="12"/>
      <c r="S839" s="12"/>
      <c r="X839" s="12"/>
      <c r="AM839" s="12"/>
    </row>
    <row r="840" spans="9:39" x14ac:dyDescent="0.3">
      <c r="I840" s="12"/>
      <c r="N840" s="12"/>
      <c r="S840" s="12"/>
      <c r="X840" s="12"/>
      <c r="AM840" s="12"/>
    </row>
    <row r="841" spans="9:39" x14ac:dyDescent="0.3">
      <c r="I841" s="12"/>
      <c r="N841" s="12"/>
      <c r="S841" s="12"/>
      <c r="X841" s="12"/>
      <c r="AM841" s="12"/>
    </row>
    <row r="842" spans="9:39" x14ac:dyDescent="0.3">
      <c r="I842" s="12"/>
      <c r="N842" s="12"/>
      <c r="S842" s="12"/>
      <c r="X842" s="12"/>
      <c r="AM842" s="12"/>
    </row>
    <row r="843" spans="9:39" x14ac:dyDescent="0.3">
      <c r="I843" s="12"/>
      <c r="N843" s="12"/>
      <c r="S843" s="12"/>
      <c r="X843" s="12"/>
      <c r="AM843" s="12"/>
    </row>
    <row r="844" spans="9:39" x14ac:dyDescent="0.3">
      <c r="I844" s="12"/>
      <c r="N844" s="12"/>
      <c r="S844" s="12"/>
      <c r="X844" s="12"/>
      <c r="AM844" s="12"/>
    </row>
    <row r="845" spans="9:39" x14ac:dyDescent="0.3">
      <c r="I845" s="12"/>
      <c r="N845" s="12"/>
      <c r="S845" s="12"/>
      <c r="X845" s="12"/>
      <c r="AM845" s="12"/>
    </row>
    <row r="846" spans="9:39" x14ac:dyDescent="0.3">
      <c r="I846" s="12"/>
      <c r="N846" s="12"/>
      <c r="S846" s="12"/>
      <c r="X846" s="12"/>
      <c r="AM846" s="12"/>
    </row>
    <row r="847" spans="9:39" x14ac:dyDescent="0.3">
      <c r="I847" s="12"/>
      <c r="N847" s="12"/>
      <c r="S847" s="12"/>
      <c r="X847" s="12"/>
      <c r="AM847" s="12"/>
    </row>
    <row r="848" spans="9:39" x14ac:dyDescent="0.3">
      <c r="I848" s="12"/>
      <c r="N848" s="12"/>
      <c r="S848" s="12"/>
      <c r="X848" s="12"/>
      <c r="AM848" s="12"/>
    </row>
    <row r="849" spans="9:39" x14ac:dyDescent="0.3">
      <c r="I849" s="12"/>
      <c r="N849" s="12"/>
      <c r="S849" s="12"/>
      <c r="X849" s="12"/>
      <c r="AM849" s="12"/>
    </row>
    <row r="850" spans="9:39" x14ac:dyDescent="0.3">
      <c r="I850" s="12"/>
      <c r="N850" s="12"/>
      <c r="S850" s="12"/>
      <c r="X850" s="12"/>
      <c r="AM850" s="12"/>
    </row>
    <row r="851" spans="9:39" x14ac:dyDescent="0.3">
      <c r="I851" s="12"/>
      <c r="N851" s="12"/>
      <c r="S851" s="12"/>
      <c r="X851" s="12"/>
      <c r="AM851" s="12"/>
    </row>
    <row r="852" spans="9:39" x14ac:dyDescent="0.3">
      <c r="I852" s="12"/>
      <c r="N852" s="12"/>
      <c r="S852" s="12"/>
      <c r="X852" s="12"/>
      <c r="AM852" s="12"/>
    </row>
    <row r="853" spans="9:39" x14ac:dyDescent="0.3">
      <c r="I853" s="12"/>
      <c r="N853" s="12"/>
      <c r="S853" s="12"/>
      <c r="X853" s="12"/>
      <c r="AM853" s="12"/>
    </row>
    <row r="854" spans="9:39" x14ac:dyDescent="0.3">
      <c r="I854" s="12"/>
      <c r="N854" s="12"/>
      <c r="S854" s="12"/>
      <c r="X854" s="12"/>
      <c r="AM854" s="12"/>
    </row>
    <row r="855" spans="9:39" x14ac:dyDescent="0.3">
      <c r="I855" s="12"/>
      <c r="N855" s="12"/>
      <c r="S855" s="12"/>
      <c r="X855" s="12"/>
      <c r="AM855" s="12"/>
    </row>
    <row r="856" spans="9:39" x14ac:dyDescent="0.3">
      <c r="I856" s="12"/>
      <c r="N856" s="12"/>
      <c r="S856" s="12"/>
      <c r="X856" s="12"/>
      <c r="AM856" s="12"/>
    </row>
    <row r="857" spans="9:39" x14ac:dyDescent="0.3">
      <c r="I857" s="12"/>
      <c r="N857" s="12"/>
      <c r="S857" s="12"/>
      <c r="X857" s="12"/>
      <c r="AM857" s="12"/>
    </row>
    <row r="858" spans="9:39" x14ac:dyDescent="0.3">
      <c r="I858" s="12"/>
      <c r="N858" s="12"/>
      <c r="S858" s="12"/>
      <c r="X858" s="12"/>
      <c r="AM858" s="12"/>
    </row>
    <row r="859" spans="9:39" x14ac:dyDescent="0.3">
      <c r="I859" s="12"/>
      <c r="N859" s="12"/>
      <c r="S859" s="12"/>
      <c r="X859" s="12"/>
      <c r="AM859" s="12"/>
    </row>
    <row r="860" spans="9:39" x14ac:dyDescent="0.3">
      <c r="I860" s="12"/>
      <c r="N860" s="12"/>
      <c r="S860" s="12"/>
      <c r="X860" s="12"/>
      <c r="AM860" s="12"/>
    </row>
    <row r="861" spans="9:39" x14ac:dyDescent="0.3">
      <c r="I861" s="12"/>
      <c r="N861" s="12"/>
      <c r="S861" s="12"/>
      <c r="X861" s="12"/>
      <c r="AM861" s="12"/>
    </row>
    <row r="862" spans="9:39" x14ac:dyDescent="0.3">
      <c r="I862" s="12"/>
      <c r="N862" s="12"/>
      <c r="S862" s="12"/>
      <c r="X862" s="12"/>
      <c r="AM862" s="12"/>
    </row>
    <row r="863" spans="9:39" x14ac:dyDescent="0.3">
      <c r="I863" s="12"/>
      <c r="N863" s="12"/>
      <c r="S863" s="12"/>
      <c r="X863" s="12"/>
      <c r="AM863" s="12"/>
    </row>
    <row r="864" spans="9:39" x14ac:dyDescent="0.3">
      <c r="I864" s="12"/>
      <c r="N864" s="12"/>
      <c r="S864" s="12"/>
      <c r="X864" s="12"/>
      <c r="AM864" s="12"/>
    </row>
    <row r="865" spans="9:39" x14ac:dyDescent="0.3">
      <c r="I865" s="12"/>
      <c r="N865" s="12"/>
      <c r="S865" s="12"/>
      <c r="X865" s="12"/>
      <c r="AM865" s="12"/>
    </row>
    <row r="866" spans="9:39" x14ac:dyDescent="0.3">
      <c r="I866" s="12"/>
      <c r="N866" s="12"/>
      <c r="S866" s="12"/>
      <c r="X866" s="12"/>
      <c r="AM866" s="12"/>
    </row>
    <row r="867" spans="9:39" x14ac:dyDescent="0.3">
      <c r="I867" s="12"/>
      <c r="N867" s="12"/>
      <c r="S867" s="12"/>
      <c r="X867" s="12"/>
      <c r="AM867" s="12"/>
    </row>
    <row r="868" spans="9:39" x14ac:dyDescent="0.3">
      <c r="I868" s="12"/>
      <c r="N868" s="12"/>
      <c r="S868" s="12"/>
      <c r="X868" s="12"/>
      <c r="AM868" s="12"/>
    </row>
    <row r="869" spans="9:39" x14ac:dyDescent="0.3">
      <c r="I869" s="12"/>
      <c r="N869" s="12"/>
      <c r="S869" s="12"/>
      <c r="X869" s="12"/>
      <c r="AM869" s="12"/>
    </row>
    <row r="870" spans="9:39" x14ac:dyDescent="0.3">
      <c r="I870" s="12"/>
      <c r="N870" s="12"/>
      <c r="S870" s="12"/>
      <c r="X870" s="12"/>
      <c r="AM870" s="12"/>
    </row>
    <row r="871" spans="9:39" x14ac:dyDescent="0.3">
      <c r="I871" s="12"/>
      <c r="N871" s="12"/>
      <c r="S871" s="12"/>
      <c r="X871" s="12"/>
      <c r="AM871" s="12"/>
    </row>
    <row r="872" spans="9:39" x14ac:dyDescent="0.3">
      <c r="I872" s="12"/>
      <c r="N872" s="12"/>
      <c r="S872" s="12"/>
      <c r="X872" s="12"/>
      <c r="AM872" s="12"/>
    </row>
    <row r="873" spans="9:39" x14ac:dyDescent="0.3">
      <c r="I873" s="12"/>
      <c r="N873" s="12"/>
      <c r="S873" s="12"/>
      <c r="X873" s="12"/>
      <c r="AM873" s="12"/>
    </row>
    <row r="874" spans="9:39" x14ac:dyDescent="0.3">
      <c r="I874" s="12"/>
      <c r="N874" s="12"/>
      <c r="S874" s="12"/>
      <c r="X874" s="12"/>
      <c r="AM874" s="12"/>
    </row>
    <row r="875" spans="9:39" x14ac:dyDescent="0.3">
      <c r="I875" s="12"/>
      <c r="N875" s="12"/>
      <c r="S875" s="12"/>
      <c r="X875" s="12"/>
      <c r="AM875" s="12"/>
    </row>
    <row r="876" spans="9:39" x14ac:dyDescent="0.3">
      <c r="I876" s="12"/>
      <c r="N876" s="12"/>
      <c r="S876" s="12"/>
      <c r="X876" s="12"/>
      <c r="AM876" s="12"/>
    </row>
    <row r="877" spans="9:39" x14ac:dyDescent="0.3">
      <c r="I877" s="12"/>
      <c r="N877" s="12"/>
      <c r="S877" s="12"/>
      <c r="X877" s="12"/>
      <c r="AM877" s="12"/>
    </row>
    <row r="878" spans="9:39" x14ac:dyDescent="0.3">
      <c r="I878" s="12"/>
      <c r="N878" s="12"/>
      <c r="S878" s="12"/>
      <c r="X878" s="12"/>
      <c r="AM878" s="12"/>
    </row>
    <row r="879" spans="9:39" x14ac:dyDescent="0.3">
      <c r="I879" s="12"/>
      <c r="N879" s="12"/>
      <c r="S879" s="12"/>
      <c r="X879" s="12"/>
      <c r="AM879" s="12"/>
    </row>
    <row r="880" spans="9:39" x14ac:dyDescent="0.3">
      <c r="I880" s="12"/>
      <c r="N880" s="12"/>
      <c r="S880" s="12"/>
      <c r="X880" s="12"/>
      <c r="AM880" s="12"/>
    </row>
    <row r="881" spans="9:39" x14ac:dyDescent="0.3">
      <c r="I881" s="12"/>
      <c r="N881" s="12"/>
      <c r="S881" s="12"/>
      <c r="X881" s="12"/>
      <c r="AM881" s="12"/>
    </row>
    <row r="882" spans="9:39" x14ac:dyDescent="0.3">
      <c r="I882" s="12"/>
      <c r="N882" s="12"/>
      <c r="S882" s="12"/>
      <c r="X882" s="12"/>
      <c r="AM882" s="12"/>
    </row>
    <row r="883" spans="9:39" x14ac:dyDescent="0.3">
      <c r="I883" s="12"/>
      <c r="N883" s="12"/>
      <c r="S883" s="12"/>
      <c r="X883" s="12"/>
      <c r="AM883" s="12"/>
    </row>
    <row r="884" spans="9:39" x14ac:dyDescent="0.3">
      <c r="I884" s="12"/>
      <c r="N884" s="12"/>
      <c r="S884" s="12"/>
      <c r="X884" s="12"/>
      <c r="AM884" s="12"/>
    </row>
    <row r="885" spans="9:39" x14ac:dyDescent="0.3">
      <c r="I885" s="12"/>
      <c r="N885" s="12"/>
      <c r="S885" s="12"/>
      <c r="X885" s="12"/>
      <c r="AM885" s="12"/>
    </row>
    <row r="886" spans="9:39" x14ac:dyDescent="0.3">
      <c r="I886" s="12"/>
      <c r="N886" s="12"/>
      <c r="S886" s="12"/>
      <c r="X886" s="12"/>
      <c r="AM886" s="12"/>
    </row>
    <row r="887" spans="9:39" x14ac:dyDescent="0.3">
      <c r="I887" s="12"/>
      <c r="N887" s="12"/>
      <c r="S887" s="12"/>
      <c r="X887" s="12"/>
      <c r="AM887" s="12"/>
    </row>
    <row r="888" spans="9:39" x14ac:dyDescent="0.3">
      <c r="I888" s="12"/>
      <c r="N888" s="12"/>
      <c r="S888" s="12"/>
      <c r="X888" s="12"/>
      <c r="AM888" s="12"/>
    </row>
    <row r="889" spans="9:39" x14ac:dyDescent="0.3">
      <c r="I889" s="12"/>
      <c r="N889" s="12"/>
      <c r="S889" s="12"/>
      <c r="X889" s="12"/>
      <c r="AM889" s="12"/>
    </row>
    <row r="890" spans="9:39" x14ac:dyDescent="0.3">
      <c r="I890" s="12"/>
      <c r="N890" s="12"/>
      <c r="S890" s="12"/>
      <c r="X890" s="12"/>
      <c r="AM890" s="12"/>
    </row>
    <row r="891" spans="9:39" x14ac:dyDescent="0.3">
      <c r="I891" s="12"/>
      <c r="N891" s="12"/>
      <c r="S891" s="12"/>
      <c r="X891" s="12"/>
      <c r="AM891" s="12"/>
    </row>
    <row r="892" spans="9:39" x14ac:dyDescent="0.3">
      <c r="I892" s="12"/>
      <c r="N892" s="12"/>
      <c r="S892" s="12"/>
      <c r="X892" s="12"/>
      <c r="AM892" s="12"/>
    </row>
    <row r="893" spans="9:39" x14ac:dyDescent="0.3">
      <c r="I893" s="12"/>
      <c r="N893" s="12"/>
      <c r="S893" s="12"/>
      <c r="X893" s="12"/>
      <c r="AM893" s="12"/>
    </row>
    <row r="894" spans="9:39" x14ac:dyDescent="0.3">
      <c r="I894" s="12"/>
      <c r="N894" s="12"/>
      <c r="S894" s="12"/>
      <c r="X894" s="12"/>
      <c r="AM894" s="12"/>
    </row>
    <row r="895" spans="9:39" x14ac:dyDescent="0.3">
      <c r="I895" s="12"/>
      <c r="N895" s="12"/>
      <c r="S895" s="12"/>
      <c r="X895" s="12"/>
      <c r="AM895" s="12"/>
    </row>
    <row r="896" spans="9:39" x14ac:dyDescent="0.3">
      <c r="I896" s="12"/>
      <c r="N896" s="12"/>
      <c r="S896" s="12"/>
      <c r="X896" s="12"/>
      <c r="AM896" s="12"/>
    </row>
    <row r="897" spans="9:39" x14ac:dyDescent="0.3">
      <c r="I897" s="12"/>
      <c r="N897" s="12"/>
      <c r="S897" s="12"/>
      <c r="X897" s="12"/>
      <c r="AM897" s="12"/>
    </row>
    <row r="898" spans="9:39" x14ac:dyDescent="0.3">
      <c r="I898" s="12"/>
      <c r="N898" s="12"/>
      <c r="S898" s="12"/>
      <c r="X898" s="12"/>
      <c r="AM898" s="12"/>
    </row>
    <row r="899" spans="9:39" x14ac:dyDescent="0.3">
      <c r="I899" s="12"/>
      <c r="N899" s="12"/>
      <c r="S899" s="12"/>
      <c r="X899" s="12"/>
      <c r="AM899" s="12"/>
    </row>
    <row r="900" spans="9:39" x14ac:dyDescent="0.3">
      <c r="I900" s="12"/>
      <c r="N900" s="12"/>
      <c r="S900" s="12"/>
      <c r="X900" s="12"/>
      <c r="AM900" s="12"/>
    </row>
    <row r="901" spans="9:39" x14ac:dyDescent="0.3">
      <c r="I901" s="12"/>
      <c r="N901" s="12"/>
      <c r="S901" s="12"/>
      <c r="X901" s="12"/>
      <c r="AM901" s="12"/>
    </row>
    <row r="902" spans="9:39" x14ac:dyDescent="0.3">
      <c r="I902" s="12"/>
      <c r="N902" s="12"/>
      <c r="S902" s="12"/>
      <c r="X902" s="12"/>
      <c r="AM902" s="12"/>
    </row>
    <row r="903" spans="9:39" x14ac:dyDescent="0.3">
      <c r="I903" s="12"/>
      <c r="N903" s="12"/>
      <c r="S903" s="12"/>
      <c r="X903" s="12"/>
      <c r="AM903" s="12"/>
    </row>
    <row r="904" spans="9:39" x14ac:dyDescent="0.3">
      <c r="I904" s="12"/>
      <c r="N904" s="12"/>
      <c r="S904" s="12"/>
      <c r="X904" s="12"/>
      <c r="AM904" s="12"/>
    </row>
    <row r="905" spans="9:39" x14ac:dyDescent="0.3">
      <c r="I905" s="12"/>
      <c r="N905" s="12"/>
      <c r="S905" s="12"/>
      <c r="X905" s="12"/>
      <c r="AM905" s="12"/>
    </row>
    <row r="906" spans="9:39" x14ac:dyDescent="0.3">
      <c r="I906" s="12"/>
      <c r="N906" s="12"/>
      <c r="S906" s="12"/>
      <c r="X906" s="12"/>
      <c r="AM906" s="12"/>
    </row>
    <row r="907" spans="9:39" x14ac:dyDescent="0.3">
      <c r="I907" s="12"/>
      <c r="N907" s="12"/>
      <c r="S907" s="12"/>
      <c r="X907" s="12"/>
      <c r="AM907" s="12"/>
    </row>
    <row r="908" spans="9:39" x14ac:dyDescent="0.3">
      <c r="I908" s="12"/>
      <c r="N908" s="12"/>
      <c r="S908" s="12"/>
      <c r="X908" s="12"/>
      <c r="AM908" s="12"/>
    </row>
    <row r="909" spans="9:39" x14ac:dyDescent="0.3">
      <c r="I909" s="12"/>
      <c r="N909" s="12"/>
      <c r="S909" s="12"/>
      <c r="X909" s="12"/>
      <c r="AM909" s="12"/>
    </row>
    <row r="910" spans="9:39" x14ac:dyDescent="0.3">
      <c r="I910" s="12"/>
      <c r="N910" s="12"/>
      <c r="S910" s="12"/>
      <c r="X910" s="12"/>
      <c r="AM910" s="12"/>
    </row>
    <row r="911" spans="9:39" x14ac:dyDescent="0.3">
      <c r="I911" s="12"/>
      <c r="N911" s="12"/>
      <c r="S911" s="12"/>
      <c r="X911" s="12"/>
      <c r="AM911" s="12"/>
    </row>
    <row r="912" spans="9:39" x14ac:dyDescent="0.3">
      <c r="I912" s="12"/>
      <c r="N912" s="12"/>
      <c r="S912" s="12"/>
      <c r="X912" s="12"/>
      <c r="AM912" s="12"/>
    </row>
    <row r="913" spans="9:39" x14ac:dyDescent="0.3">
      <c r="I913" s="12"/>
      <c r="N913" s="12"/>
      <c r="S913" s="12"/>
      <c r="X913" s="12"/>
      <c r="AM913" s="12"/>
    </row>
    <row r="914" spans="9:39" x14ac:dyDescent="0.3">
      <c r="I914" s="12"/>
      <c r="N914" s="12"/>
      <c r="S914" s="12"/>
      <c r="X914" s="12"/>
      <c r="AM914" s="12"/>
    </row>
    <row r="915" spans="9:39" x14ac:dyDescent="0.3">
      <c r="I915" s="12"/>
      <c r="N915" s="12"/>
      <c r="S915" s="12"/>
      <c r="X915" s="12"/>
      <c r="AM915" s="12"/>
    </row>
    <row r="916" spans="9:39" x14ac:dyDescent="0.3">
      <c r="I916" s="12"/>
      <c r="N916" s="12"/>
      <c r="S916" s="12"/>
      <c r="X916" s="12"/>
      <c r="AM916" s="12"/>
    </row>
    <row r="917" spans="9:39" x14ac:dyDescent="0.3">
      <c r="I917" s="12"/>
      <c r="N917" s="12"/>
      <c r="S917" s="12"/>
      <c r="X917" s="12"/>
      <c r="AM917" s="12"/>
    </row>
    <row r="918" spans="9:39" x14ac:dyDescent="0.3">
      <c r="I918" s="12"/>
      <c r="N918" s="12"/>
      <c r="S918" s="12"/>
      <c r="X918" s="12"/>
      <c r="AM918" s="12"/>
    </row>
    <row r="919" spans="9:39" x14ac:dyDescent="0.3">
      <c r="I919" s="12"/>
      <c r="N919" s="12"/>
      <c r="S919" s="12"/>
      <c r="X919" s="12"/>
      <c r="AM919" s="12"/>
    </row>
    <row r="920" spans="9:39" x14ac:dyDescent="0.3">
      <c r="I920" s="12"/>
      <c r="N920" s="12"/>
      <c r="S920" s="12"/>
      <c r="X920" s="12"/>
      <c r="AM920" s="12"/>
    </row>
    <row r="921" spans="9:39" x14ac:dyDescent="0.3">
      <c r="I921" s="12"/>
      <c r="N921" s="12"/>
      <c r="S921" s="12"/>
      <c r="X921" s="12"/>
      <c r="AM921" s="12"/>
    </row>
    <row r="922" spans="9:39" x14ac:dyDescent="0.3">
      <c r="I922" s="12"/>
      <c r="N922" s="12"/>
      <c r="S922" s="12"/>
      <c r="X922" s="12"/>
      <c r="AM922" s="12"/>
    </row>
    <row r="923" spans="9:39" x14ac:dyDescent="0.3">
      <c r="I923" s="12"/>
      <c r="N923" s="12"/>
      <c r="S923" s="12"/>
      <c r="X923" s="12"/>
      <c r="AM923" s="12"/>
    </row>
    <row r="924" spans="9:39" x14ac:dyDescent="0.3">
      <c r="I924" s="12"/>
      <c r="N924" s="12"/>
      <c r="S924" s="12"/>
      <c r="X924" s="12"/>
      <c r="AM924" s="12"/>
    </row>
    <row r="925" spans="9:39" x14ac:dyDescent="0.3">
      <c r="I925" s="12"/>
      <c r="N925" s="12"/>
      <c r="S925" s="12"/>
      <c r="X925" s="12"/>
      <c r="AM925" s="12"/>
    </row>
    <row r="926" spans="9:39" x14ac:dyDescent="0.3">
      <c r="I926" s="12"/>
      <c r="N926" s="12"/>
      <c r="S926" s="12"/>
      <c r="X926" s="12"/>
      <c r="AM926" s="12"/>
    </row>
    <row r="927" spans="9:39" x14ac:dyDescent="0.3">
      <c r="I927" s="12"/>
      <c r="N927" s="12"/>
      <c r="S927" s="12"/>
      <c r="X927" s="12"/>
      <c r="AM927" s="12"/>
    </row>
    <row r="928" spans="9:39" x14ac:dyDescent="0.3">
      <c r="I928" s="12"/>
      <c r="N928" s="12"/>
      <c r="S928" s="12"/>
      <c r="X928" s="12"/>
      <c r="AM928" s="12"/>
    </row>
    <row r="929" spans="9:39" x14ac:dyDescent="0.3">
      <c r="I929" s="12"/>
      <c r="N929" s="12"/>
      <c r="S929" s="12"/>
      <c r="X929" s="12"/>
      <c r="AM929" s="12"/>
    </row>
    <row r="930" spans="9:39" x14ac:dyDescent="0.3">
      <c r="I930" s="12"/>
      <c r="N930" s="12"/>
      <c r="S930" s="12"/>
      <c r="X930" s="12"/>
      <c r="AM930" s="12"/>
    </row>
    <row r="931" spans="9:39" x14ac:dyDescent="0.3">
      <c r="I931" s="12"/>
      <c r="N931" s="12"/>
      <c r="S931" s="12"/>
      <c r="X931" s="12"/>
      <c r="AM931" s="12"/>
    </row>
    <row r="932" spans="9:39" x14ac:dyDescent="0.3">
      <c r="I932" s="12"/>
      <c r="N932" s="12"/>
      <c r="S932" s="12"/>
      <c r="X932" s="12"/>
      <c r="AM932" s="12"/>
    </row>
    <row r="933" spans="9:39" x14ac:dyDescent="0.3">
      <c r="I933" s="12"/>
      <c r="N933" s="12"/>
      <c r="S933" s="12"/>
      <c r="X933" s="12"/>
      <c r="AM933" s="12"/>
    </row>
    <row r="934" spans="9:39" x14ac:dyDescent="0.3">
      <c r="I934" s="12"/>
      <c r="N934" s="12"/>
      <c r="S934" s="12"/>
      <c r="X934" s="12"/>
      <c r="AM934" s="12"/>
    </row>
    <row r="935" spans="9:39" x14ac:dyDescent="0.3">
      <c r="I935" s="12"/>
      <c r="N935" s="12"/>
      <c r="S935" s="12"/>
      <c r="X935" s="12"/>
      <c r="AM935" s="12"/>
    </row>
    <row r="936" spans="9:39" x14ac:dyDescent="0.3">
      <c r="I936" s="12"/>
      <c r="N936" s="12"/>
      <c r="S936" s="12"/>
      <c r="X936" s="12"/>
      <c r="AM936" s="12"/>
    </row>
    <row r="937" spans="9:39" x14ac:dyDescent="0.3">
      <c r="I937" s="12"/>
      <c r="N937" s="12"/>
      <c r="S937" s="12"/>
      <c r="X937" s="12"/>
      <c r="AM937" s="12"/>
    </row>
    <row r="938" spans="9:39" x14ac:dyDescent="0.3">
      <c r="I938" s="12"/>
      <c r="N938" s="12"/>
      <c r="S938" s="12"/>
      <c r="X938" s="12"/>
      <c r="AM938" s="12"/>
    </row>
    <row r="939" spans="9:39" x14ac:dyDescent="0.3">
      <c r="I939" s="12"/>
      <c r="N939" s="12"/>
      <c r="S939" s="12"/>
      <c r="X939" s="12"/>
      <c r="AM939" s="12"/>
    </row>
    <row r="940" spans="9:39" x14ac:dyDescent="0.3">
      <c r="I940" s="12"/>
      <c r="N940" s="12"/>
      <c r="S940" s="12"/>
      <c r="X940" s="12"/>
      <c r="AM940" s="12"/>
    </row>
    <row r="941" spans="9:39" x14ac:dyDescent="0.3">
      <c r="I941" s="12"/>
      <c r="N941" s="12"/>
      <c r="S941" s="12"/>
      <c r="X941" s="12"/>
      <c r="AM941" s="12"/>
    </row>
    <row r="942" spans="9:39" x14ac:dyDescent="0.3">
      <c r="I942" s="12"/>
      <c r="N942" s="12"/>
      <c r="S942" s="12"/>
      <c r="X942" s="12"/>
      <c r="AM942" s="12"/>
    </row>
    <row r="943" spans="9:39" x14ac:dyDescent="0.3">
      <c r="I943" s="12"/>
      <c r="N943" s="12"/>
      <c r="S943" s="12"/>
      <c r="X943" s="12"/>
      <c r="AM943" s="12"/>
    </row>
    <row r="944" spans="9:39" x14ac:dyDescent="0.3">
      <c r="I944" s="12"/>
      <c r="N944" s="12"/>
      <c r="S944" s="12"/>
      <c r="X944" s="12"/>
      <c r="AM944" s="12"/>
    </row>
    <row r="945" spans="9:39" x14ac:dyDescent="0.3">
      <c r="I945" s="12"/>
      <c r="N945" s="12"/>
      <c r="S945" s="12"/>
      <c r="X945" s="12"/>
      <c r="AM945" s="12"/>
    </row>
    <row r="946" spans="9:39" x14ac:dyDescent="0.3">
      <c r="I946" s="12"/>
      <c r="N946" s="12"/>
      <c r="S946" s="12"/>
      <c r="X946" s="12"/>
      <c r="AM946" s="12"/>
    </row>
    <row r="947" spans="9:39" x14ac:dyDescent="0.3">
      <c r="I947" s="12"/>
      <c r="N947" s="12"/>
      <c r="S947" s="12"/>
      <c r="X947" s="12"/>
      <c r="AM947" s="12"/>
    </row>
    <row r="948" spans="9:39" x14ac:dyDescent="0.3">
      <c r="I948" s="12"/>
      <c r="N948" s="12"/>
      <c r="S948" s="12"/>
      <c r="X948" s="12"/>
      <c r="AM948" s="12"/>
    </row>
    <row r="949" spans="9:39" x14ac:dyDescent="0.3">
      <c r="I949" s="12"/>
      <c r="N949" s="12"/>
      <c r="S949" s="12"/>
      <c r="X949" s="12"/>
      <c r="AM949" s="12"/>
    </row>
    <row r="950" spans="9:39" x14ac:dyDescent="0.3">
      <c r="I950" s="12"/>
      <c r="N950" s="12"/>
      <c r="S950" s="12"/>
      <c r="X950" s="12"/>
      <c r="AM950" s="12"/>
    </row>
    <row r="951" spans="9:39" x14ac:dyDescent="0.3">
      <c r="I951" s="12"/>
      <c r="N951" s="12"/>
      <c r="S951" s="12"/>
      <c r="X951" s="12"/>
      <c r="AM951" s="12"/>
    </row>
    <row r="952" spans="9:39" x14ac:dyDescent="0.3">
      <c r="I952" s="12"/>
      <c r="N952" s="12"/>
      <c r="S952" s="12"/>
      <c r="X952" s="12"/>
      <c r="AM952" s="12"/>
    </row>
    <row r="953" spans="9:39" x14ac:dyDescent="0.3">
      <c r="I953" s="12"/>
      <c r="N953" s="12"/>
      <c r="S953" s="12"/>
      <c r="X953" s="12"/>
      <c r="AM953" s="12"/>
    </row>
    <row r="954" spans="9:39" x14ac:dyDescent="0.3">
      <c r="I954" s="12"/>
      <c r="N954" s="12"/>
      <c r="S954" s="12"/>
      <c r="X954" s="12"/>
      <c r="AM954" s="12"/>
    </row>
    <row r="955" spans="9:39" x14ac:dyDescent="0.3">
      <c r="I955" s="12"/>
      <c r="N955" s="12"/>
      <c r="S955" s="12"/>
      <c r="X955" s="12"/>
      <c r="AM955" s="12"/>
    </row>
    <row r="956" spans="9:39" x14ac:dyDescent="0.3">
      <c r="I956" s="12"/>
      <c r="N956" s="12"/>
      <c r="S956" s="12"/>
      <c r="X956" s="12"/>
      <c r="AM956" s="12"/>
    </row>
    <row r="957" spans="9:39" x14ac:dyDescent="0.3">
      <c r="I957" s="12"/>
      <c r="N957" s="12"/>
      <c r="S957" s="12"/>
      <c r="X957" s="12"/>
      <c r="AM957" s="12"/>
    </row>
    <row r="958" spans="9:39" x14ac:dyDescent="0.3">
      <c r="I958" s="12"/>
      <c r="N958" s="12"/>
      <c r="S958" s="12"/>
      <c r="X958" s="12"/>
      <c r="AM958" s="12"/>
    </row>
    <row r="959" spans="9:39" x14ac:dyDescent="0.3">
      <c r="I959" s="12"/>
      <c r="N959" s="12"/>
      <c r="S959" s="12"/>
      <c r="X959" s="12"/>
      <c r="AM959" s="12"/>
    </row>
    <row r="960" spans="9:39" x14ac:dyDescent="0.3">
      <c r="I960" s="12"/>
      <c r="N960" s="12"/>
      <c r="S960" s="12"/>
      <c r="X960" s="12"/>
      <c r="AM960" s="12"/>
    </row>
    <row r="961" spans="9:39" x14ac:dyDescent="0.3">
      <c r="I961" s="12"/>
      <c r="N961" s="12"/>
      <c r="S961" s="12"/>
      <c r="X961" s="12"/>
      <c r="AM961" s="12"/>
    </row>
    <row r="962" spans="9:39" x14ac:dyDescent="0.3">
      <c r="I962" s="12"/>
      <c r="N962" s="12"/>
      <c r="S962" s="12"/>
      <c r="X962" s="12"/>
      <c r="AM962" s="12"/>
    </row>
    <row r="963" spans="9:39" x14ac:dyDescent="0.3">
      <c r="I963" s="12"/>
      <c r="N963" s="12"/>
      <c r="S963" s="12"/>
      <c r="X963" s="12"/>
      <c r="AM963" s="12"/>
    </row>
    <row r="964" spans="9:39" x14ac:dyDescent="0.3">
      <c r="I964" s="12"/>
      <c r="N964" s="12"/>
      <c r="S964" s="12"/>
      <c r="X964" s="12"/>
      <c r="AM964" s="12"/>
    </row>
    <row r="965" spans="9:39" x14ac:dyDescent="0.3">
      <c r="I965" s="12"/>
      <c r="N965" s="12"/>
      <c r="S965" s="12"/>
      <c r="X965" s="12"/>
      <c r="AM965" s="12"/>
    </row>
    <row r="966" spans="9:39" x14ac:dyDescent="0.3">
      <c r="I966" s="12"/>
      <c r="N966" s="12"/>
      <c r="S966" s="12"/>
      <c r="X966" s="12"/>
      <c r="AM966" s="12"/>
    </row>
    <row r="967" spans="9:39" x14ac:dyDescent="0.3">
      <c r="I967" s="12"/>
      <c r="N967" s="12"/>
      <c r="S967" s="12"/>
      <c r="X967" s="12"/>
      <c r="AM967" s="12"/>
    </row>
    <row r="968" spans="9:39" x14ac:dyDescent="0.3">
      <c r="I968" s="12"/>
      <c r="N968" s="12"/>
      <c r="S968" s="12"/>
      <c r="X968" s="12"/>
      <c r="AM968" s="12"/>
    </row>
    <row r="969" spans="9:39" x14ac:dyDescent="0.3">
      <c r="I969" s="12"/>
      <c r="N969" s="12"/>
      <c r="S969" s="12"/>
      <c r="X969" s="12"/>
      <c r="AM969" s="12"/>
    </row>
    <row r="970" spans="9:39" x14ac:dyDescent="0.3">
      <c r="I970" s="12"/>
      <c r="N970" s="12"/>
      <c r="S970" s="12"/>
      <c r="X970" s="12"/>
      <c r="AM970" s="12"/>
    </row>
    <row r="971" spans="9:39" x14ac:dyDescent="0.3">
      <c r="I971" s="12"/>
      <c r="N971" s="12"/>
      <c r="S971" s="12"/>
      <c r="X971" s="12"/>
      <c r="AM971" s="12"/>
    </row>
    <row r="972" spans="9:39" x14ac:dyDescent="0.3">
      <c r="I972" s="12"/>
      <c r="N972" s="12"/>
      <c r="S972" s="12"/>
      <c r="X972" s="12"/>
      <c r="AM972" s="12"/>
    </row>
    <row r="973" spans="9:39" x14ac:dyDescent="0.3">
      <c r="I973" s="12"/>
      <c r="N973" s="12"/>
      <c r="S973" s="12"/>
      <c r="X973" s="12"/>
      <c r="AM973" s="12"/>
    </row>
    <row r="974" spans="9:39" x14ac:dyDescent="0.3">
      <c r="I974" s="12"/>
      <c r="N974" s="12"/>
      <c r="S974" s="12"/>
      <c r="X974" s="12"/>
      <c r="AM974" s="12"/>
    </row>
    <row r="975" spans="9:39" x14ac:dyDescent="0.3">
      <c r="I975" s="12"/>
      <c r="N975" s="12"/>
      <c r="S975" s="12"/>
      <c r="X975" s="12"/>
      <c r="AM975" s="12"/>
    </row>
    <row r="976" spans="9:39" x14ac:dyDescent="0.3">
      <c r="I976" s="12"/>
      <c r="N976" s="12"/>
      <c r="S976" s="12"/>
      <c r="X976" s="12"/>
      <c r="AM976" s="12"/>
    </row>
    <row r="977" spans="9:39" x14ac:dyDescent="0.3">
      <c r="I977" s="12"/>
      <c r="N977" s="12"/>
      <c r="S977" s="12"/>
      <c r="X977" s="12"/>
      <c r="AM977" s="12"/>
    </row>
    <row r="978" spans="9:39" x14ac:dyDescent="0.3">
      <c r="I978" s="12"/>
      <c r="N978" s="12"/>
      <c r="S978" s="12"/>
      <c r="X978" s="12"/>
      <c r="AM978" s="12"/>
    </row>
    <row r="979" spans="9:39" x14ac:dyDescent="0.3">
      <c r="I979" s="12"/>
      <c r="N979" s="12"/>
      <c r="S979" s="12"/>
      <c r="X979" s="12"/>
      <c r="AM979" s="12"/>
    </row>
    <row r="980" spans="9:39" x14ac:dyDescent="0.3">
      <c r="I980" s="12"/>
      <c r="N980" s="12"/>
      <c r="S980" s="12"/>
      <c r="X980" s="12"/>
      <c r="AM980" s="12"/>
    </row>
    <row r="981" spans="9:39" x14ac:dyDescent="0.3">
      <c r="I981" s="12"/>
      <c r="N981" s="12"/>
      <c r="S981" s="12"/>
      <c r="X981" s="12"/>
      <c r="AM981" s="12"/>
    </row>
    <row r="982" spans="9:39" x14ac:dyDescent="0.3">
      <c r="I982" s="12"/>
      <c r="N982" s="12"/>
      <c r="S982" s="12"/>
      <c r="X982" s="12"/>
      <c r="AM982" s="12"/>
    </row>
    <row r="983" spans="9:39" x14ac:dyDescent="0.3">
      <c r="I983" s="12"/>
      <c r="N983" s="12"/>
      <c r="S983" s="12"/>
      <c r="X983" s="12"/>
      <c r="AM983" s="12"/>
    </row>
    <row r="984" spans="9:39" x14ac:dyDescent="0.3">
      <c r="I984" s="12"/>
      <c r="N984" s="12"/>
      <c r="S984" s="12"/>
      <c r="X984" s="12"/>
      <c r="AM984" s="12"/>
    </row>
    <row r="985" spans="9:39" x14ac:dyDescent="0.3">
      <c r="I985" s="12"/>
      <c r="N985" s="12"/>
      <c r="S985" s="12"/>
      <c r="X985" s="12"/>
      <c r="AM985" s="12"/>
    </row>
    <row r="986" spans="9:39" x14ac:dyDescent="0.3">
      <c r="I986" s="12"/>
      <c r="N986" s="12"/>
      <c r="S986" s="12"/>
      <c r="X986" s="12"/>
      <c r="AM986" s="12"/>
    </row>
    <row r="987" spans="9:39" x14ac:dyDescent="0.3">
      <c r="I987" s="12"/>
      <c r="N987" s="12"/>
      <c r="S987" s="12"/>
      <c r="X987" s="12"/>
      <c r="AM987" s="12"/>
    </row>
    <row r="988" spans="9:39" x14ac:dyDescent="0.3">
      <c r="I988" s="12"/>
      <c r="N988" s="12"/>
      <c r="S988" s="12"/>
      <c r="X988" s="12"/>
      <c r="AM988" s="12"/>
    </row>
    <row r="989" spans="9:39" x14ac:dyDescent="0.3">
      <c r="I989" s="12"/>
      <c r="N989" s="12"/>
      <c r="S989" s="12"/>
      <c r="X989" s="12"/>
      <c r="AM989" s="12"/>
    </row>
    <row r="990" spans="9:39" x14ac:dyDescent="0.3">
      <c r="I990" s="12"/>
      <c r="N990" s="12"/>
      <c r="S990" s="12"/>
      <c r="X990" s="12"/>
      <c r="AM990" s="12"/>
    </row>
    <row r="991" spans="9:39" x14ac:dyDescent="0.3">
      <c r="I991" s="12"/>
      <c r="N991" s="12"/>
      <c r="S991" s="12"/>
      <c r="X991" s="12"/>
      <c r="AM991" s="12"/>
    </row>
    <row r="992" spans="9:39" x14ac:dyDescent="0.3">
      <c r="I992" s="12"/>
      <c r="N992" s="12"/>
      <c r="S992" s="12"/>
      <c r="X992" s="12"/>
      <c r="AM992" s="12"/>
    </row>
    <row r="993" spans="9:39" x14ac:dyDescent="0.3">
      <c r="I993" s="12"/>
      <c r="N993" s="12"/>
      <c r="S993" s="12"/>
      <c r="X993" s="12"/>
      <c r="AM993" s="12"/>
    </row>
    <row r="994" spans="9:39" x14ac:dyDescent="0.3">
      <c r="I994" s="12"/>
      <c r="N994" s="12"/>
      <c r="S994" s="12"/>
      <c r="X994" s="12"/>
      <c r="AM994" s="12"/>
    </row>
    <row r="995" spans="9:39" x14ac:dyDescent="0.3">
      <c r="I995" s="12"/>
      <c r="N995" s="12"/>
      <c r="S995" s="12"/>
      <c r="X995" s="12"/>
      <c r="AM995" s="12"/>
    </row>
    <row r="996" spans="9:39" x14ac:dyDescent="0.3">
      <c r="I996" s="12"/>
      <c r="N996" s="12"/>
      <c r="S996" s="12"/>
      <c r="X996" s="12"/>
      <c r="AM996" s="12"/>
    </row>
    <row r="997" spans="9:39" x14ac:dyDescent="0.3">
      <c r="I997" s="12"/>
      <c r="N997" s="12"/>
      <c r="S997" s="12"/>
      <c r="X997" s="12"/>
      <c r="AM997" s="12"/>
    </row>
    <row r="998" spans="9:39" x14ac:dyDescent="0.3">
      <c r="I998" s="12"/>
      <c r="N998" s="12"/>
      <c r="S998" s="12"/>
      <c r="X998" s="12"/>
      <c r="AM998" s="12"/>
    </row>
    <row r="999" spans="9:39" x14ac:dyDescent="0.3">
      <c r="I999" s="12"/>
      <c r="N999" s="12"/>
      <c r="S999" s="12"/>
      <c r="X999" s="12"/>
      <c r="AM999" s="12"/>
    </row>
    <row r="1000" spans="9:39" x14ac:dyDescent="0.3">
      <c r="I1000" s="12"/>
      <c r="N1000" s="12"/>
      <c r="S1000" s="12"/>
      <c r="X1000" s="12"/>
      <c r="AM1000" s="12"/>
    </row>
    <row r="1001" spans="9:39" x14ac:dyDescent="0.3">
      <c r="I1001" s="12"/>
      <c r="N1001" s="12"/>
      <c r="S1001" s="12"/>
      <c r="X1001" s="12"/>
      <c r="AM1001" s="12"/>
    </row>
    <row r="1002" spans="9:39" x14ac:dyDescent="0.3">
      <c r="I1002" s="12"/>
      <c r="N1002" s="12"/>
      <c r="S1002" s="12"/>
      <c r="X1002" s="12"/>
      <c r="AM1002" s="12"/>
    </row>
    <row r="1003" spans="9:39" x14ac:dyDescent="0.3">
      <c r="I1003" s="12"/>
      <c r="N1003" s="12"/>
      <c r="S1003" s="12"/>
      <c r="X1003" s="12"/>
      <c r="AM1003" s="12"/>
    </row>
    <row r="1004" spans="9:39" x14ac:dyDescent="0.3">
      <c r="I1004" s="12"/>
      <c r="N1004" s="12"/>
      <c r="S1004" s="12"/>
      <c r="X1004" s="12"/>
      <c r="AM1004" s="12"/>
    </row>
    <row r="1005" spans="9:39" x14ac:dyDescent="0.3">
      <c r="I1005" s="12"/>
      <c r="N1005" s="12"/>
      <c r="S1005" s="12"/>
      <c r="X1005" s="12"/>
      <c r="AM1005" s="12"/>
    </row>
    <row r="1006" spans="9:39" x14ac:dyDescent="0.3">
      <c r="I1006" s="12"/>
      <c r="N1006" s="12"/>
      <c r="S1006" s="12"/>
      <c r="X1006" s="12"/>
      <c r="AM1006" s="12"/>
    </row>
    <row r="1007" spans="9:39" x14ac:dyDescent="0.3">
      <c r="I1007" s="12"/>
      <c r="N1007" s="12"/>
      <c r="S1007" s="12"/>
      <c r="X1007" s="12"/>
      <c r="AM1007" s="12"/>
    </row>
    <row r="1008" spans="9:39" x14ac:dyDescent="0.3">
      <c r="I1008" s="12"/>
      <c r="N1008" s="12"/>
      <c r="S1008" s="12"/>
      <c r="X1008" s="12"/>
      <c r="AM1008" s="12"/>
    </row>
    <row r="1009" spans="9:39" x14ac:dyDescent="0.3">
      <c r="I1009" s="12"/>
      <c r="N1009" s="12"/>
      <c r="S1009" s="12"/>
      <c r="X1009" s="12"/>
      <c r="AM1009" s="12"/>
    </row>
    <row r="1010" spans="9:39" x14ac:dyDescent="0.3">
      <c r="I1010" s="12"/>
      <c r="N1010" s="12"/>
      <c r="S1010" s="12"/>
      <c r="X1010" s="12"/>
      <c r="AM1010" s="12"/>
    </row>
    <row r="1011" spans="9:39" x14ac:dyDescent="0.3">
      <c r="I1011" s="12"/>
      <c r="N1011" s="12"/>
      <c r="S1011" s="12"/>
      <c r="X1011" s="12"/>
      <c r="AM1011" s="12"/>
    </row>
    <row r="1012" spans="9:39" x14ac:dyDescent="0.3">
      <c r="I1012" s="12"/>
      <c r="N1012" s="12"/>
      <c r="S1012" s="12"/>
      <c r="X1012" s="12"/>
      <c r="AM1012" s="12"/>
    </row>
    <row r="1013" spans="9:39" x14ac:dyDescent="0.3">
      <c r="I1013" s="12"/>
      <c r="N1013" s="12"/>
      <c r="S1013" s="12"/>
      <c r="X1013" s="12"/>
      <c r="AM1013" s="12"/>
    </row>
    <row r="1014" spans="9:39" x14ac:dyDescent="0.3">
      <c r="I1014" s="12"/>
      <c r="N1014" s="12"/>
      <c r="S1014" s="12"/>
      <c r="X1014" s="12"/>
      <c r="AM1014" s="12"/>
    </row>
    <row r="1015" spans="9:39" x14ac:dyDescent="0.3">
      <c r="I1015" s="12"/>
      <c r="N1015" s="12"/>
      <c r="S1015" s="12"/>
      <c r="X1015" s="12"/>
      <c r="AM1015" s="12"/>
    </row>
    <row r="1016" spans="9:39" x14ac:dyDescent="0.3">
      <c r="I1016" s="12"/>
      <c r="N1016" s="12"/>
      <c r="S1016" s="12"/>
      <c r="X1016" s="12"/>
      <c r="AM1016" s="12"/>
    </row>
    <row r="1017" spans="9:39" x14ac:dyDescent="0.3">
      <c r="I1017" s="12"/>
      <c r="N1017" s="12"/>
      <c r="S1017" s="12"/>
      <c r="X1017" s="12"/>
      <c r="AM1017" s="12"/>
    </row>
    <row r="1018" spans="9:39" x14ac:dyDescent="0.3">
      <c r="I1018" s="12"/>
      <c r="N1018" s="12"/>
      <c r="S1018" s="12"/>
      <c r="X1018" s="12"/>
      <c r="AM1018" s="12"/>
    </row>
    <row r="1019" spans="9:39" x14ac:dyDescent="0.3">
      <c r="I1019" s="12"/>
      <c r="N1019" s="12"/>
      <c r="S1019" s="12"/>
      <c r="X1019" s="12"/>
      <c r="AM1019" s="12"/>
    </row>
    <row r="1020" spans="9:39" x14ac:dyDescent="0.3">
      <c r="I1020" s="12"/>
      <c r="N1020" s="12"/>
      <c r="S1020" s="12"/>
      <c r="X1020" s="12"/>
      <c r="AM1020" s="12"/>
    </row>
    <row r="1021" spans="9:39" x14ac:dyDescent="0.3">
      <c r="I1021" s="12"/>
      <c r="N1021" s="12"/>
      <c r="S1021" s="12"/>
      <c r="X1021" s="12"/>
      <c r="AM1021" s="12"/>
    </row>
    <row r="1022" spans="9:39" x14ac:dyDescent="0.3">
      <c r="I1022" s="12"/>
      <c r="N1022" s="12"/>
      <c r="S1022" s="12"/>
      <c r="X1022" s="12"/>
      <c r="AM1022" s="12"/>
    </row>
    <row r="1023" spans="9:39" x14ac:dyDescent="0.3">
      <c r="I1023" s="12"/>
      <c r="N1023" s="12"/>
      <c r="S1023" s="12"/>
      <c r="X1023" s="12"/>
      <c r="AM1023" s="12"/>
    </row>
    <row r="1024" spans="9:39" x14ac:dyDescent="0.3">
      <c r="I1024" s="12"/>
      <c r="N1024" s="12"/>
      <c r="S1024" s="12"/>
      <c r="X1024" s="12"/>
      <c r="AM1024" s="12"/>
    </row>
    <row r="1025" spans="9:39" x14ac:dyDescent="0.3">
      <c r="I1025" s="12"/>
      <c r="N1025" s="12"/>
      <c r="S1025" s="12"/>
      <c r="X1025" s="12"/>
      <c r="AM1025" s="12"/>
    </row>
    <row r="1026" spans="9:39" x14ac:dyDescent="0.3">
      <c r="I1026" s="12"/>
      <c r="N1026" s="12"/>
      <c r="S1026" s="12"/>
      <c r="X1026" s="12"/>
      <c r="AM1026" s="12"/>
    </row>
    <row r="1027" spans="9:39" x14ac:dyDescent="0.3">
      <c r="I1027" s="12"/>
      <c r="N1027" s="12"/>
      <c r="S1027" s="12"/>
      <c r="X1027" s="12"/>
      <c r="AM1027" s="12"/>
    </row>
    <row r="1028" spans="9:39" x14ac:dyDescent="0.3">
      <c r="I1028" s="12"/>
      <c r="N1028" s="12"/>
      <c r="S1028" s="12"/>
      <c r="X1028" s="12"/>
      <c r="AM1028" s="12"/>
    </row>
    <row r="1029" spans="9:39" x14ac:dyDescent="0.3">
      <c r="I1029" s="12"/>
      <c r="N1029" s="12"/>
      <c r="S1029" s="12"/>
      <c r="X1029" s="12"/>
      <c r="AM1029" s="12"/>
    </row>
    <row r="1030" spans="9:39" x14ac:dyDescent="0.3">
      <c r="I1030" s="12"/>
      <c r="N1030" s="12"/>
      <c r="S1030" s="12"/>
      <c r="X1030" s="12"/>
      <c r="AM1030" s="12"/>
    </row>
    <row r="1031" spans="9:39" x14ac:dyDescent="0.3">
      <c r="I1031" s="12"/>
      <c r="N1031" s="12"/>
      <c r="S1031" s="12"/>
      <c r="X1031" s="12"/>
      <c r="AM1031" s="12"/>
    </row>
    <row r="1032" spans="9:39" x14ac:dyDescent="0.3">
      <c r="I1032" s="12"/>
      <c r="N1032" s="12"/>
      <c r="S1032" s="12"/>
      <c r="X1032" s="12"/>
      <c r="AM1032" s="12"/>
    </row>
    <row r="1033" spans="9:39" x14ac:dyDescent="0.3">
      <c r="I1033" s="12"/>
      <c r="N1033" s="12"/>
      <c r="S1033" s="12"/>
      <c r="X1033" s="12"/>
      <c r="AM1033" s="12"/>
    </row>
    <row r="1034" spans="9:39" x14ac:dyDescent="0.3">
      <c r="I1034" s="12"/>
      <c r="N1034" s="12"/>
      <c r="S1034" s="12"/>
      <c r="X1034" s="12"/>
      <c r="AM1034" s="12"/>
    </row>
    <row r="1035" spans="9:39" x14ac:dyDescent="0.3">
      <c r="I1035" s="12"/>
      <c r="N1035" s="12"/>
      <c r="S1035" s="12"/>
      <c r="X1035" s="12"/>
      <c r="AM1035" s="12"/>
    </row>
    <row r="1036" spans="9:39" x14ac:dyDescent="0.3">
      <c r="I1036" s="12"/>
      <c r="N1036" s="12"/>
      <c r="S1036" s="12"/>
      <c r="X1036" s="12"/>
      <c r="AM1036" s="12"/>
    </row>
    <row r="1037" spans="9:39" x14ac:dyDescent="0.3">
      <c r="I1037" s="12"/>
      <c r="N1037" s="12"/>
      <c r="S1037" s="12"/>
      <c r="X1037" s="12"/>
      <c r="AM1037" s="12"/>
    </row>
    <row r="1038" spans="9:39" x14ac:dyDescent="0.3">
      <c r="I1038" s="12"/>
      <c r="N1038" s="12"/>
      <c r="S1038" s="12"/>
      <c r="X1038" s="12"/>
      <c r="AM1038" s="12"/>
    </row>
    <row r="1039" spans="9:39" x14ac:dyDescent="0.3">
      <c r="I1039" s="12"/>
      <c r="N1039" s="12"/>
      <c r="S1039" s="12"/>
      <c r="X1039" s="12"/>
      <c r="AM1039" s="12"/>
    </row>
    <row r="1040" spans="9:39" x14ac:dyDescent="0.3">
      <c r="I1040" s="12"/>
      <c r="N1040" s="12"/>
      <c r="S1040" s="12"/>
      <c r="X1040" s="12"/>
      <c r="AM1040" s="12"/>
    </row>
    <row r="1041" spans="9:39" x14ac:dyDescent="0.3">
      <c r="I1041" s="12"/>
      <c r="N1041" s="12"/>
      <c r="S1041" s="12"/>
      <c r="X1041" s="12"/>
      <c r="AM1041" s="12"/>
    </row>
    <row r="1042" spans="9:39" x14ac:dyDescent="0.3">
      <c r="I1042" s="12"/>
      <c r="N1042" s="12"/>
      <c r="S1042" s="12"/>
      <c r="X1042" s="12"/>
      <c r="AM1042" s="12"/>
    </row>
    <row r="1043" spans="9:39" x14ac:dyDescent="0.3">
      <c r="I1043" s="12"/>
      <c r="N1043" s="12"/>
      <c r="S1043" s="12"/>
      <c r="X1043" s="12"/>
      <c r="AM1043" s="12"/>
    </row>
    <row r="1044" spans="9:39" x14ac:dyDescent="0.3">
      <c r="I1044" s="12"/>
      <c r="N1044" s="12"/>
      <c r="S1044" s="12"/>
      <c r="X1044" s="12"/>
      <c r="AM1044" s="12"/>
    </row>
    <row r="1045" spans="9:39" x14ac:dyDescent="0.3">
      <c r="I1045" s="12"/>
      <c r="N1045" s="12"/>
      <c r="S1045" s="12"/>
      <c r="X1045" s="12"/>
      <c r="AM1045" s="12"/>
    </row>
    <row r="1046" spans="9:39" x14ac:dyDescent="0.3">
      <c r="I1046" s="12"/>
      <c r="N1046" s="12"/>
      <c r="S1046" s="12"/>
      <c r="X1046" s="12"/>
      <c r="AM1046" s="12"/>
    </row>
    <row r="1047" spans="9:39" x14ac:dyDescent="0.3">
      <c r="I1047" s="12"/>
      <c r="N1047" s="12"/>
      <c r="S1047" s="12"/>
      <c r="X1047" s="12"/>
      <c r="AM1047" s="12"/>
    </row>
    <row r="1048" spans="9:39" x14ac:dyDescent="0.3">
      <c r="I1048" s="12"/>
      <c r="N1048" s="12"/>
      <c r="S1048" s="12"/>
      <c r="X1048" s="12"/>
      <c r="AM1048" s="12"/>
    </row>
    <row r="1049" spans="9:39" x14ac:dyDescent="0.3">
      <c r="I1049" s="12"/>
      <c r="N1049" s="12"/>
      <c r="S1049" s="12"/>
      <c r="X1049" s="12"/>
      <c r="AM1049" s="12"/>
    </row>
    <row r="1050" spans="9:39" x14ac:dyDescent="0.3">
      <c r="I1050" s="12"/>
      <c r="N1050" s="12"/>
      <c r="S1050" s="12"/>
      <c r="X1050" s="12"/>
      <c r="AM1050" s="12"/>
    </row>
    <row r="1051" spans="9:39" x14ac:dyDescent="0.3">
      <c r="I1051" s="12"/>
      <c r="N1051" s="12"/>
      <c r="S1051" s="12"/>
      <c r="X1051" s="12"/>
      <c r="AM1051" s="12"/>
    </row>
    <row r="1052" spans="9:39" x14ac:dyDescent="0.3">
      <c r="I1052" s="12"/>
      <c r="N1052" s="12"/>
      <c r="S1052" s="12"/>
      <c r="X1052" s="12"/>
      <c r="AM1052" s="12"/>
    </row>
    <row r="1053" spans="9:39" x14ac:dyDescent="0.3">
      <c r="I1053" s="12"/>
      <c r="N1053" s="12"/>
      <c r="S1053" s="12"/>
      <c r="X1053" s="12"/>
      <c r="AM1053" s="12"/>
    </row>
    <row r="1054" spans="9:39" x14ac:dyDescent="0.3">
      <c r="I1054" s="12"/>
      <c r="N1054" s="12"/>
      <c r="S1054" s="12"/>
      <c r="X1054" s="12"/>
      <c r="AM1054" s="12"/>
    </row>
    <row r="1055" spans="9:39" x14ac:dyDescent="0.3">
      <c r="I1055" s="12"/>
      <c r="N1055" s="12"/>
      <c r="S1055" s="12"/>
      <c r="X1055" s="12"/>
      <c r="AM1055" s="12"/>
    </row>
    <row r="1056" spans="9:39" x14ac:dyDescent="0.3">
      <c r="I1056" s="12"/>
      <c r="N1056" s="12"/>
      <c r="S1056" s="12"/>
      <c r="X1056" s="12"/>
      <c r="AM1056" s="12"/>
    </row>
    <row r="1057" spans="9:39" x14ac:dyDescent="0.3">
      <c r="I1057" s="12"/>
      <c r="N1057" s="12"/>
      <c r="S1057" s="12"/>
      <c r="X1057" s="12"/>
      <c r="AM1057" s="12"/>
    </row>
    <row r="1058" spans="9:39" x14ac:dyDescent="0.3">
      <c r="I1058" s="12"/>
      <c r="N1058" s="12"/>
      <c r="S1058" s="12"/>
      <c r="X1058" s="12"/>
      <c r="AM1058" s="12"/>
    </row>
    <row r="1059" spans="9:39" x14ac:dyDescent="0.3">
      <c r="I1059" s="12"/>
      <c r="N1059" s="12"/>
      <c r="S1059" s="12"/>
      <c r="X1059" s="12"/>
      <c r="AM1059" s="12"/>
    </row>
    <row r="1060" spans="9:39" x14ac:dyDescent="0.3">
      <c r="I1060" s="12"/>
      <c r="N1060" s="12"/>
      <c r="S1060" s="12"/>
      <c r="X1060" s="12"/>
      <c r="AM1060" s="12"/>
    </row>
    <row r="1061" spans="9:39" x14ac:dyDescent="0.3">
      <c r="I1061" s="12"/>
      <c r="N1061" s="12"/>
      <c r="S1061" s="12"/>
      <c r="X1061" s="12"/>
      <c r="AM1061" s="12"/>
    </row>
    <row r="1062" spans="9:39" x14ac:dyDescent="0.3">
      <c r="I1062" s="12"/>
      <c r="N1062" s="12"/>
      <c r="S1062" s="12"/>
      <c r="X1062" s="12"/>
      <c r="AM1062" s="12"/>
    </row>
    <row r="1063" spans="9:39" x14ac:dyDescent="0.3">
      <c r="I1063" s="12"/>
      <c r="N1063" s="12"/>
      <c r="S1063" s="12"/>
      <c r="X1063" s="12"/>
      <c r="AM1063" s="12"/>
    </row>
    <row r="1064" spans="9:39" x14ac:dyDescent="0.3">
      <c r="I1064" s="12"/>
      <c r="N1064" s="12"/>
      <c r="S1064" s="12"/>
      <c r="X1064" s="12"/>
      <c r="AM1064" s="12"/>
    </row>
    <row r="1065" spans="9:39" x14ac:dyDescent="0.3">
      <c r="I1065" s="12"/>
      <c r="N1065" s="12"/>
      <c r="S1065" s="12"/>
      <c r="X1065" s="12"/>
      <c r="AM1065" s="12"/>
    </row>
    <row r="1066" spans="9:39" x14ac:dyDescent="0.3">
      <c r="I1066" s="12"/>
      <c r="N1066" s="12"/>
      <c r="S1066" s="12"/>
      <c r="X1066" s="12"/>
      <c r="AM1066" s="12"/>
    </row>
    <row r="1067" spans="9:39" x14ac:dyDescent="0.3">
      <c r="I1067" s="12"/>
      <c r="N1067" s="12"/>
      <c r="S1067" s="12"/>
      <c r="X1067" s="12"/>
      <c r="AM1067" s="12"/>
    </row>
    <row r="1068" spans="9:39" x14ac:dyDescent="0.3">
      <c r="I1068" s="12"/>
      <c r="N1068" s="12"/>
      <c r="S1068" s="12"/>
      <c r="X1068" s="12"/>
      <c r="AM1068" s="12"/>
    </row>
    <row r="1069" spans="9:39" x14ac:dyDescent="0.3">
      <c r="I1069" s="12"/>
      <c r="N1069" s="12"/>
      <c r="S1069" s="12"/>
      <c r="X1069" s="12"/>
      <c r="AM1069" s="12"/>
    </row>
    <row r="1070" spans="9:39" x14ac:dyDescent="0.3">
      <c r="I1070" s="12"/>
      <c r="N1070" s="12"/>
      <c r="S1070" s="12"/>
      <c r="X1070" s="12"/>
      <c r="AM1070" s="12"/>
    </row>
    <row r="1071" spans="9:39" x14ac:dyDescent="0.3">
      <c r="I1071" s="12"/>
      <c r="N1071" s="12"/>
      <c r="S1071" s="12"/>
      <c r="X1071" s="12"/>
      <c r="AM1071" s="12"/>
    </row>
    <row r="1072" spans="9:39" x14ac:dyDescent="0.3">
      <c r="I1072" s="12"/>
      <c r="N1072" s="12"/>
      <c r="S1072" s="12"/>
      <c r="X1072" s="12"/>
      <c r="AM1072" s="12"/>
    </row>
    <row r="1073" spans="9:39" x14ac:dyDescent="0.3">
      <c r="I1073" s="12"/>
      <c r="N1073" s="12"/>
      <c r="S1073" s="12"/>
      <c r="X1073" s="12"/>
      <c r="AM1073" s="12"/>
    </row>
    <row r="1074" spans="9:39" x14ac:dyDescent="0.3">
      <c r="I1074" s="12"/>
      <c r="N1074" s="12"/>
      <c r="S1074" s="12"/>
      <c r="X1074" s="12"/>
      <c r="AM1074" s="12"/>
    </row>
    <row r="1075" spans="9:39" x14ac:dyDescent="0.3">
      <c r="I1075" s="12"/>
      <c r="N1075" s="12"/>
      <c r="S1075" s="12"/>
      <c r="X1075" s="12"/>
      <c r="AM1075" s="12"/>
    </row>
    <row r="1076" spans="9:39" x14ac:dyDescent="0.3">
      <c r="I1076" s="12"/>
      <c r="N1076" s="12"/>
      <c r="S1076" s="12"/>
      <c r="X1076" s="12"/>
      <c r="AM1076" s="12"/>
    </row>
    <row r="1077" spans="9:39" x14ac:dyDescent="0.3">
      <c r="I1077" s="12"/>
      <c r="N1077" s="12"/>
      <c r="S1077" s="12"/>
      <c r="X1077" s="12"/>
      <c r="AM1077" s="12"/>
    </row>
    <row r="1078" spans="9:39" x14ac:dyDescent="0.3">
      <c r="I1078" s="12"/>
      <c r="N1078" s="12"/>
      <c r="S1078" s="12"/>
      <c r="X1078" s="12"/>
      <c r="AM1078" s="12"/>
    </row>
    <row r="1079" spans="9:39" x14ac:dyDescent="0.3">
      <c r="I1079" s="12"/>
      <c r="N1079" s="12"/>
      <c r="S1079" s="12"/>
      <c r="X1079" s="12"/>
      <c r="AM1079" s="12"/>
    </row>
    <row r="1080" spans="9:39" x14ac:dyDescent="0.3">
      <c r="I1080" s="12"/>
      <c r="N1080" s="12"/>
      <c r="S1080" s="12"/>
      <c r="X1080" s="12"/>
      <c r="AM1080" s="12"/>
    </row>
    <row r="1081" spans="9:39" x14ac:dyDescent="0.3">
      <c r="I1081" s="12"/>
      <c r="N1081" s="12"/>
      <c r="S1081" s="12"/>
      <c r="X1081" s="12"/>
      <c r="AM1081" s="12"/>
    </row>
    <row r="1082" spans="9:39" x14ac:dyDescent="0.3">
      <c r="I1082" s="12"/>
      <c r="N1082" s="12"/>
      <c r="S1082" s="12"/>
      <c r="X1082" s="12"/>
      <c r="AM1082" s="12"/>
    </row>
    <row r="1083" spans="9:39" x14ac:dyDescent="0.3">
      <c r="I1083" s="12"/>
      <c r="N1083" s="12"/>
      <c r="S1083" s="12"/>
      <c r="X1083" s="12"/>
      <c r="AM1083" s="12"/>
    </row>
    <row r="1084" spans="9:39" x14ac:dyDescent="0.3">
      <c r="I1084" s="12"/>
      <c r="N1084" s="12"/>
      <c r="S1084" s="12"/>
      <c r="X1084" s="12"/>
      <c r="AM1084" s="12"/>
    </row>
    <row r="1085" spans="9:39" x14ac:dyDescent="0.3">
      <c r="I1085" s="12"/>
      <c r="N1085" s="12"/>
      <c r="S1085" s="12"/>
      <c r="X1085" s="12"/>
      <c r="AM1085" s="12"/>
    </row>
    <row r="1086" spans="9:39" x14ac:dyDescent="0.3">
      <c r="I1086" s="12"/>
      <c r="N1086" s="12"/>
      <c r="S1086" s="12"/>
      <c r="X1086" s="12"/>
      <c r="AM1086" s="12"/>
    </row>
    <row r="1087" spans="9:39" x14ac:dyDescent="0.3">
      <c r="I1087" s="12"/>
      <c r="N1087" s="12"/>
      <c r="S1087" s="12"/>
      <c r="X1087" s="12"/>
      <c r="AM1087" s="12"/>
    </row>
    <row r="1088" spans="9:39" x14ac:dyDescent="0.3">
      <c r="I1088" s="12"/>
      <c r="N1088" s="12"/>
      <c r="S1088" s="12"/>
      <c r="X1088" s="12"/>
      <c r="AM1088" s="12"/>
    </row>
    <row r="1089" spans="9:39" x14ac:dyDescent="0.3">
      <c r="I1089" s="12"/>
      <c r="N1089" s="12"/>
      <c r="S1089" s="12"/>
      <c r="X1089" s="12"/>
      <c r="AM1089" s="12"/>
    </row>
    <row r="1090" spans="9:39" x14ac:dyDescent="0.3">
      <c r="I1090" s="12"/>
      <c r="N1090" s="12"/>
      <c r="S1090" s="12"/>
      <c r="X1090" s="12"/>
      <c r="AM1090" s="12"/>
    </row>
    <row r="1091" spans="9:39" x14ac:dyDescent="0.3">
      <c r="I1091" s="12"/>
      <c r="N1091" s="12"/>
      <c r="S1091" s="12"/>
      <c r="X1091" s="12"/>
      <c r="AM1091" s="12"/>
    </row>
    <row r="1092" spans="9:39" x14ac:dyDescent="0.3">
      <c r="I1092" s="12"/>
      <c r="N1092" s="12"/>
      <c r="S1092" s="12"/>
      <c r="X1092" s="12"/>
      <c r="AM1092" s="12"/>
    </row>
    <row r="1093" spans="9:39" x14ac:dyDescent="0.3">
      <c r="I1093" s="12"/>
      <c r="N1093" s="12"/>
      <c r="S1093" s="12"/>
      <c r="X1093" s="12"/>
      <c r="AM1093" s="12"/>
    </row>
    <row r="1094" spans="9:39" x14ac:dyDescent="0.3">
      <c r="I1094" s="12"/>
      <c r="N1094" s="12"/>
      <c r="S1094" s="12"/>
      <c r="X1094" s="12"/>
      <c r="AM1094" s="12"/>
    </row>
    <row r="1095" spans="9:39" x14ac:dyDescent="0.3">
      <c r="I1095" s="12"/>
      <c r="N1095" s="12"/>
      <c r="S1095" s="12"/>
      <c r="X1095" s="12"/>
      <c r="AM1095" s="12"/>
    </row>
    <row r="1096" spans="9:39" x14ac:dyDescent="0.3">
      <c r="I1096" s="12"/>
      <c r="N1096" s="12"/>
      <c r="S1096" s="12"/>
      <c r="X1096" s="12"/>
      <c r="AM1096" s="12"/>
    </row>
    <row r="1097" spans="9:39" x14ac:dyDescent="0.3">
      <c r="I1097" s="12"/>
      <c r="N1097" s="12"/>
      <c r="S1097" s="12"/>
      <c r="X1097" s="12"/>
      <c r="AM1097" s="12"/>
    </row>
    <row r="1098" spans="9:39" x14ac:dyDescent="0.3">
      <c r="I1098" s="12"/>
      <c r="N1098" s="12"/>
      <c r="S1098" s="12"/>
      <c r="X1098" s="12"/>
      <c r="AM1098" s="12"/>
    </row>
    <row r="1099" spans="9:39" x14ac:dyDescent="0.3">
      <c r="I1099" s="12"/>
      <c r="N1099" s="12"/>
      <c r="S1099" s="12"/>
      <c r="X1099" s="12"/>
      <c r="AM1099" s="12"/>
    </row>
    <row r="1100" spans="9:39" x14ac:dyDescent="0.3">
      <c r="I1100" s="12"/>
      <c r="N1100" s="12"/>
      <c r="S1100" s="12"/>
      <c r="X1100" s="12"/>
      <c r="AM1100" s="12"/>
    </row>
    <row r="1101" spans="9:39" x14ac:dyDescent="0.3">
      <c r="I1101" s="12"/>
      <c r="N1101" s="12"/>
      <c r="S1101" s="12"/>
      <c r="X1101" s="12"/>
      <c r="AM1101" s="12"/>
    </row>
    <row r="1102" spans="9:39" x14ac:dyDescent="0.3">
      <c r="I1102" s="12"/>
      <c r="N1102" s="12"/>
      <c r="S1102" s="12"/>
      <c r="X1102" s="12"/>
      <c r="AM1102" s="12"/>
    </row>
    <row r="1103" spans="9:39" x14ac:dyDescent="0.3">
      <c r="I1103" s="12"/>
      <c r="N1103" s="12"/>
      <c r="S1103" s="12"/>
      <c r="X1103" s="12"/>
      <c r="AM1103" s="12"/>
    </row>
    <row r="1104" spans="9:39" x14ac:dyDescent="0.3">
      <c r="I1104" s="12"/>
      <c r="N1104" s="12"/>
      <c r="S1104" s="12"/>
      <c r="X1104" s="12"/>
      <c r="AM1104" s="12"/>
    </row>
    <row r="1105" spans="9:39" x14ac:dyDescent="0.3">
      <c r="I1105" s="12"/>
      <c r="N1105" s="12"/>
      <c r="S1105" s="12"/>
      <c r="X1105" s="12"/>
      <c r="AM1105" s="12"/>
    </row>
    <row r="1106" spans="9:39" x14ac:dyDescent="0.3">
      <c r="I1106" s="12"/>
      <c r="N1106" s="12"/>
      <c r="S1106" s="12"/>
      <c r="X1106" s="12"/>
      <c r="AM1106" s="12"/>
    </row>
    <row r="1107" spans="9:39" x14ac:dyDescent="0.3">
      <c r="I1107" s="12"/>
      <c r="N1107" s="12"/>
      <c r="S1107" s="12"/>
      <c r="X1107" s="12"/>
      <c r="AM1107" s="12"/>
    </row>
    <row r="1108" spans="9:39" x14ac:dyDescent="0.3">
      <c r="I1108" s="12"/>
      <c r="N1108" s="12"/>
      <c r="S1108" s="12"/>
      <c r="X1108" s="12"/>
      <c r="AM1108" s="12"/>
    </row>
    <row r="1109" spans="9:39" x14ac:dyDescent="0.3">
      <c r="I1109" s="12"/>
      <c r="N1109" s="12"/>
      <c r="S1109" s="12"/>
      <c r="X1109" s="12"/>
      <c r="AM1109" s="12"/>
    </row>
    <row r="1110" spans="9:39" x14ac:dyDescent="0.3">
      <c r="I1110" s="12"/>
      <c r="N1110" s="12"/>
      <c r="S1110" s="12"/>
      <c r="X1110" s="12"/>
      <c r="AM1110" s="12"/>
    </row>
    <row r="1111" spans="9:39" x14ac:dyDescent="0.3">
      <c r="I1111" s="12"/>
      <c r="N1111" s="12"/>
      <c r="S1111" s="12"/>
      <c r="X1111" s="12"/>
      <c r="AM1111" s="12"/>
    </row>
    <row r="1112" spans="9:39" x14ac:dyDescent="0.3">
      <c r="I1112" s="12"/>
      <c r="N1112" s="12"/>
      <c r="S1112" s="12"/>
      <c r="X1112" s="12"/>
      <c r="AM1112" s="12"/>
    </row>
    <row r="1113" spans="9:39" x14ac:dyDescent="0.3">
      <c r="I1113" s="12"/>
      <c r="N1113" s="12"/>
      <c r="S1113" s="12"/>
      <c r="X1113" s="12"/>
      <c r="AM1113" s="12"/>
    </row>
    <row r="1114" spans="9:39" x14ac:dyDescent="0.3">
      <c r="I1114" s="12"/>
      <c r="N1114" s="12"/>
      <c r="S1114" s="12"/>
      <c r="X1114" s="12"/>
      <c r="AM1114" s="12"/>
    </row>
    <row r="1115" spans="9:39" x14ac:dyDescent="0.3">
      <c r="I1115" s="12"/>
      <c r="N1115" s="12"/>
      <c r="S1115" s="12"/>
      <c r="X1115" s="12"/>
      <c r="AM1115" s="12"/>
    </row>
    <row r="1116" spans="9:39" x14ac:dyDescent="0.3">
      <c r="I1116" s="12"/>
      <c r="N1116" s="12"/>
      <c r="S1116" s="12"/>
      <c r="X1116" s="12"/>
      <c r="AM1116" s="12"/>
    </row>
    <row r="1117" spans="9:39" x14ac:dyDescent="0.3">
      <c r="I1117" s="12"/>
      <c r="N1117" s="12"/>
      <c r="S1117" s="12"/>
      <c r="X1117" s="12"/>
      <c r="AM1117" s="12"/>
    </row>
    <row r="1118" spans="9:39" x14ac:dyDescent="0.3">
      <c r="I1118" s="12"/>
      <c r="N1118" s="12"/>
      <c r="S1118" s="12"/>
      <c r="X1118" s="12"/>
      <c r="AM1118" s="12"/>
    </row>
    <row r="1119" spans="9:39" x14ac:dyDescent="0.3">
      <c r="I1119" s="12"/>
      <c r="N1119" s="12"/>
      <c r="S1119" s="12"/>
      <c r="X1119" s="12"/>
      <c r="AM1119" s="12"/>
    </row>
    <row r="1120" spans="9:39" x14ac:dyDescent="0.3">
      <c r="I1120" s="12"/>
      <c r="N1120" s="12"/>
      <c r="S1120" s="12"/>
      <c r="X1120" s="12"/>
      <c r="AM1120" s="12"/>
    </row>
    <row r="1121" spans="9:39" x14ac:dyDescent="0.3">
      <c r="I1121" s="12"/>
      <c r="N1121" s="12"/>
      <c r="S1121" s="12"/>
      <c r="X1121" s="12"/>
      <c r="AM1121" s="12"/>
    </row>
    <row r="1122" spans="9:39" x14ac:dyDescent="0.3">
      <c r="I1122" s="12"/>
      <c r="N1122" s="12"/>
      <c r="S1122" s="12"/>
      <c r="X1122" s="12"/>
      <c r="AM1122" s="12"/>
    </row>
    <row r="1123" spans="9:39" x14ac:dyDescent="0.3">
      <c r="I1123" s="12"/>
      <c r="N1123" s="12"/>
      <c r="S1123" s="12"/>
      <c r="X1123" s="12"/>
      <c r="AM1123" s="12"/>
    </row>
    <row r="1124" spans="9:39" x14ac:dyDescent="0.3">
      <c r="I1124" s="12"/>
      <c r="N1124" s="12"/>
      <c r="S1124" s="12"/>
      <c r="X1124" s="12"/>
      <c r="AM1124" s="12"/>
    </row>
    <row r="1125" spans="9:39" x14ac:dyDescent="0.3">
      <c r="I1125" s="12"/>
      <c r="N1125" s="12"/>
      <c r="S1125" s="12"/>
      <c r="X1125" s="12"/>
      <c r="AM1125" s="12"/>
    </row>
    <row r="1126" spans="9:39" x14ac:dyDescent="0.3">
      <c r="I1126" s="12"/>
      <c r="N1126" s="12"/>
      <c r="S1126" s="12"/>
      <c r="X1126" s="12"/>
      <c r="AM1126" s="12"/>
    </row>
    <row r="1127" spans="9:39" x14ac:dyDescent="0.3">
      <c r="I1127" s="12"/>
      <c r="N1127" s="12"/>
      <c r="S1127" s="12"/>
      <c r="X1127" s="12"/>
      <c r="AM1127" s="12"/>
    </row>
    <row r="1128" spans="9:39" x14ac:dyDescent="0.3">
      <c r="I1128" s="12"/>
      <c r="N1128" s="12"/>
      <c r="S1128" s="12"/>
      <c r="X1128" s="12"/>
      <c r="AM1128" s="12"/>
    </row>
    <row r="1129" spans="9:39" x14ac:dyDescent="0.3">
      <c r="I1129" s="12"/>
      <c r="N1129" s="12"/>
      <c r="S1129" s="12"/>
      <c r="X1129" s="12"/>
      <c r="AM1129" s="12"/>
    </row>
    <row r="1130" spans="9:39" x14ac:dyDescent="0.3">
      <c r="I1130" s="12"/>
      <c r="N1130" s="12"/>
      <c r="S1130" s="12"/>
      <c r="X1130" s="12"/>
      <c r="AM1130" s="12"/>
    </row>
    <row r="1131" spans="9:39" x14ac:dyDescent="0.3">
      <c r="I1131" s="12"/>
      <c r="N1131" s="12"/>
      <c r="S1131" s="12"/>
      <c r="X1131" s="12"/>
      <c r="AM1131" s="12"/>
    </row>
    <row r="1132" spans="9:39" x14ac:dyDescent="0.3">
      <c r="I1132" s="12"/>
      <c r="N1132" s="12"/>
      <c r="S1132" s="12"/>
      <c r="X1132" s="12"/>
      <c r="AM1132" s="12"/>
    </row>
    <row r="1133" spans="9:39" x14ac:dyDescent="0.3">
      <c r="I1133" s="12"/>
      <c r="N1133" s="12"/>
      <c r="S1133" s="12"/>
      <c r="X1133" s="12"/>
      <c r="AM1133" s="12"/>
    </row>
    <row r="1134" spans="9:39" x14ac:dyDescent="0.3">
      <c r="I1134" s="12"/>
      <c r="N1134" s="12"/>
      <c r="S1134" s="12"/>
      <c r="X1134" s="12"/>
      <c r="AM1134" s="12"/>
    </row>
    <row r="1135" spans="9:39" x14ac:dyDescent="0.3">
      <c r="I1135" s="12"/>
      <c r="N1135" s="12"/>
      <c r="S1135" s="12"/>
      <c r="X1135" s="12"/>
      <c r="AM1135" s="12"/>
    </row>
    <row r="1136" spans="9:39" x14ac:dyDescent="0.3">
      <c r="I1136" s="12"/>
      <c r="N1136" s="12"/>
      <c r="S1136" s="12"/>
      <c r="X1136" s="12"/>
      <c r="AM1136" s="12"/>
    </row>
    <row r="1137" spans="9:39" x14ac:dyDescent="0.3">
      <c r="I1137" s="12"/>
      <c r="N1137" s="12"/>
      <c r="S1137" s="12"/>
      <c r="X1137" s="12"/>
      <c r="AM1137" s="12"/>
    </row>
    <row r="1138" spans="9:39" x14ac:dyDescent="0.3">
      <c r="I1138" s="12"/>
      <c r="N1138" s="12"/>
      <c r="S1138" s="12"/>
      <c r="X1138" s="12"/>
      <c r="AM1138" s="12"/>
    </row>
    <row r="1139" spans="9:39" x14ac:dyDescent="0.3">
      <c r="I1139" s="12"/>
      <c r="N1139" s="12"/>
      <c r="S1139" s="12"/>
      <c r="X1139" s="12"/>
      <c r="AM1139" s="12"/>
    </row>
    <row r="1140" spans="9:39" x14ac:dyDescent="0.3">
      <c r="I1140" s="12"/>
      <c r="N1140" s="12"/>
      <c r="S1140" s="12"/>
      <c r="X1140" s="12"/>
      <c r="AM1140" s="12"/>
    </row>
    <row r="1141" spans="9:39" x14ac:dyDescent="0.3">
      <c r="I1141" s="12"/>
      <c r="N1141" s="12"/>
      <c r="S1141" s="12"/>
      <c r="X1141" s="12"/>
      <c r="AM1141" s="12"/>
    </row>
    <row r="1142" spans="9:39" x14ac:dyDescent="0.3">
      <c r="I1142" s="12"/>
      <c r="N1142" s="12"/>
      <c r="S1142" s="12"/>
      <c r="X1142" s="12"/>
      <c r="AM1142" s="12"/>
    </row>
    <row r="1143" spans="9:39" x14ac:dyDescent="0.3">
      <c r="I1143" s="12"/>
      <c r="N1143" s="12"/>
      <c r="S1143" s="12"/>
      <c r="X1143" s="12"/>
      <c r="AM1143" s="12"/>
    </row>
    <row r="1144" spans="9:39" x14ac:dyDescent="0.3">
      <c r="I1144" s="12"/>
      <c r="N1144" s="12"/>
      <c r="S1144" s="12"/>
      <c r="X1144" s="12"/>
      <c r="AM1144" s="12"/>
    </row>
    <row r="1145" spans="9:39" x14ac:dyDescent="0.3">
      <c r="I1145" s="12"/>
      <c r="N1145" s="12"/>
      <c r="S1145" s="12"/>
      <c r="X1145" s="12"/>
      <c r="AM1145" s="12"/>
    </row>
    <row r="1146" spans="9:39" x14ac:dyDescent="0.3">
      <c r="I1146" s="12"/>
      <c r="N1146" s="12"/>
      <c r="S1146" s="12"/>
      <c r="X1146" s="12"/>
      <c r="AM1146" s="12"/>
    </row>
    <row r="1147" spans="9:39" x14ac:dyDescent="0.3">
      <c r="I1147" s="12"/>
      <c r="N1147" s="12"/>
      <c r="S1147" s="12"/>
      <c r="X1147" s="12"/>
      <c r="AM1147" s="12"/>
    </row>
    <row r="1148" spans="9:39" x14ac:dyDescent="0.3">
      <c r="I1148" s="12"/>
      <c r="N1148" s="12"/>
      <c r="S1148" s="12"/>
      <c r="X1148" s="12"/>
      <c r="AM1148" s="12"/>
    </row>
    <row r="1149" spans="9:39" x14ac:dyDescent="0.3">
      <c r="I1149" s="12"/>
      <c r="N1149" s="12"/>
      <c r="S1149" s="12"/>
      <c r="X1149" s="12"/>
      <c r="AM1149" s="12"/>
    </row>
    <row r="1150" spans="9:39" x14ac:dyDescent="0.3">
      <c r="I1150" s="12"/>
      <c r="N1150" s="12"/>
      <c r="S1150" s="12"/>
      <c r="X1150" s="12"/>
      <c r="AM1150" s="12"/>
    </row>
    <row r="1151" spans="9:39" x14ac:dyDescent="0.3">
      <c r="I1151" s="12"/>
      <c r="N1151" s="12"/>
      <c r="S1151" s="12"/>
      <c r="X1151" s="12"/>
      <c r="AM1151" s="12"/>
    </row>
    <row r="1152" spans="9:39" x14ac:dyDescent="0.3">
      <c r="I1152" s="12"/>
      <c r="N1152" s="12"/>
      <c r="S1152" s="12"/>
      <c r="X1152" s="12"/>
      <c r="AM1152" s="12"/>
    </row>
    <row r="1153" spans="9:39" x14ac:dyDescent="0.3">
      <c r="I1153" s="12"/>
      <c r="N1153" s="12"/>
      <c r="S1153" s="12"/>
      <c r="X1153" s="12"/>
      <c r="AM1153" s="12"/>
    </row>
    <row r="1154" spans="9:39" x14ac:dyDescent="0.3">
      <c r="I1154" s="12"/>
      <c r="N1154" s="12"/>
      <c r="S1154" s="12"/>
      <c r="X1154" s="12"/>
      <c r="AM1154" s="12"/>
    </row>
    <row r="1155" spans="9:39" x14ac:dyDescent="0.3">
      <c r="I1155" s="12"/>
      <c r="N1155" s="12"/>
      <c r="S1155" s="12"/>
      <c r="X1155" s="12"/>
      <c r="AM1155" s="12"/>
    </row>
    <row r="1156" spans="9:39" x14ac:dyDescent="0.3">
      <c r="I1156" s="12"/>
      <c r="N1156" s="12"/>
      <c r="S1156" s="12"/>
      <c r="X1156" s="12"/>
      <c r="AM1156" s="12"/>
    </row>
    <row r="1157" spans="9:39" x14ac:dyDescent="0.3">
      <c r="I1157" s="12"/>
      <c r="N1157" s="12"/>
      <c r="S1157" s="12"/>
      <c r="X1157" s="12"/>
      <c r="AM1157" s="12"/>
    </row>
    <row r="1158" spans="9:39" x14ac:dyDescent="0.3">
      <c r="I1158" s="12"/>
      <c r="N1158" s="12"/>
      <c r="S1158" s="12"/>
      <c r="X1158" s="12"/>
      <c r="AM1158" s="12"/>
    </row>
    <row r="1159" spans="9:39" x14ac:dyDescent="0.3">
      <c r="I1159" s="12"/>
      <c r="N1159" s="12"/>
      <c r="S1159" s="12"/>
      <c r="X1159" s="12"/>
      <c r="AM1159" s="12"/>
    </row>
    <row r="1160" spans="9:39" x14ac:dyDescent="0.3">
      <c r="I1160" s="12"/>
      <c r="N1160" s="12"/>
      <c r="S1160" s="12"/>
      <c r="X1160" s="12"/>
      <c r="AM1160" s="12"/>
    </row>
    <row r="1161" spans="9:39" x14ac:dyDescent="0.3">
      <c r="I1161" s="12"/>
      <c r="N1161" s="12"/>
      <c r="S1161" s="12"/>
      <c r="X1161" s="12"/>
      <c r="AM1161" s="12"/>
    </row>
    <row r="1162" spans="9:39" x14ac:dyDescent="0.3">
      <c r="I1162" s="12"/>
      <c r="N1162" s="12"/>
      <c r="S1162" s="12"/>
      <c r="X1162" s="12"/>
      <c r="AM1162" s="12"/>
    </row>
    <row r="1163" spans="9:39" x14ac:dyDescent="0.3">
      <c r="I1163" s="12"/>
      <c r="N1163" s="12"/>
      <c r="S1163" s="12"/>
      <c r="X1163" s="12"/>
      <c r="AM1163" s="12"/>
    </row>
    <row r="1164" spans="9:39" x14ac:dyDescent="0.3">
      <c r="I1164" s="12"/>
      <c r="N1164" s="12"/>
      <c r="S1164" s="12"/>
      <c r="X1164" s="12"/>
      <c r="AM1164" s="12"/>
    </row>
    <row r="1165" spans="9:39" x14ac:dyDescent="0.3">
      <c r="I1165" s="12"/>
      <c r="N1165" s="12"/>
      <c r="S1165" s="12"/>
      <c r="X1165" s="12"/>
      <c r="AM1165" s="12"/>
    </row>
    <row r="1166" spans="9:39" x14ac:dyDescent="0.3">
      <c r="I1166" s="12"/>
      <c r="N1166" s="12"/>
      <c r="S1166" s="12"/>
      <c r="X1166" s="12"/>
      <c r="AM1166" s="12"/>
    </row>
    <row r="1167" spans="9:39" x14ac:dyDescent="0.3">
      <c r="I1167" s="12"/>
      <c r="N1167" s="12"/>
      <c r="S1167" s="12"/>
      <c r="X1167" s="12"/>
      <c r="AM1167" s="12"/>
    </row>
    <row r="1168" spans="9:39" x14ac:dyDescent="0.3">
      <c r="I1168" s="12"/>
      <c r="N1168" s="12"/>
      <c r="S1168" s="12"/>
      <c r="X1168" s="12"/>
      <c r="AM1168" s="12"/>
    </row>
    <row r="1169" spans="9:39" x14ac:dyDescent="0.3">
      <c r="I1169" s="12"/>
      <c r="N1169" s="12"/>
      <c r="S1169" s="12"/>
      <c r="X1169" s="12"/>
      <c r="AM1169" s="12"/>
    </row>
    <row r="1170" spans="9:39" x14ac:dyDescent="0.3">
      <c r="I1170" s="12"/>
      <c r="N1170" s="12"/>
      <c r="S1170" s="12"/>
      <c r="X1170" s="12"/>
      <c r="AM1170" s="12"/>
    </row>
    <row r="1171" spans="9:39" x14ac:dyDescent="0.3">
      <c r="I1171" s="12"/>
      <c r="N1171" s="12"/>
      <c r="S1171" s="12"/>
      <c r="X1171" s="12"/>
      <c r="AM1171" s="12"/>
    </row>
    <row r="1172" spans="9:39" x14ac:dyDescent="0.3">
      <c r="I1172" s="12"/>
      <c r="N1172" s="12"/>
      <c r="S1172" s="12"/>
      <c r="X1172" s="12"/>
      <c r="AM1172" s="12"/>
    </row>
    <row r="1173" spans="9:39" x14ac:dyDescent="0.3">
      <c r="I1173" s="12"/>
      <c r="N1173" s="12"/>
      <c r="S1173" s="12"/>
      <c r="X1173" s="12"/>
      <c r="AM1173" s="12"/>
    </row>
    <row r="1174" spans="9:39" x14ac:dyDescent="0.3">
      <c r="I1174" s="12"/>
      <c r="N1174" s="12"/>
      <c r="S1174" s="12"/>
      <c r="X1174" s="12"/>
      <c r="AM1174" s="12"/>
    </row>
    <row r="1175" spans="9:39" x14ac:dyDescent="0.3">
      <c r="I1175" s="12"/>
      <c r="N1175" s="12"/>
      <c r="S1175" s="12"/>
      <c r="X1175" s="12"/>
      <c r="AM1175" s="12"/>
    </row>
    <row r="1176" spans="9:39" x14ac:dyDescent="0.3">
      <c r="I1176" s="12"/>
      <c r="N1176" s="12"/>
      <c r="S1176" s="12"/>
      <c r="X1176" s="12"/>
      <c r="AM1176" s="12"/>
    </row>
    <row r="1177" spans="9:39" x14ac:dyDescent="0.3">
      <c r="I1177" s="12"/>
      <c r="N1177" s="12"/>
      <c r="S1177" s="12"/>
      <c r="X1177" s="12"/>
      <c r="AM1177" s="12"/>
    </row>
    <row r="1178" spans="9:39" x14ac:dyDescent="0.3">
      <c r="I1178" s="12"/>
      <c r="N1178" s="12"/>
      <c r="S1178" s="12"/>
      <c r="X1178" s="12"/>
      <c r="AM1178" s="12"/>
    </row>
    <row r="1179" spans="9:39" x14ac:dyDescent="0.3">
      <c r="I1179" s="12"/>
      <c r="N1179" s="12"/>
      <c r="S1179" s="12"/>
      <c r="X1179" s="12"/>
      <c r="AM1179" s="12"/>
    </row>
    <row r="1180" spans="9:39" x14ac:dyDescent="0.3">
      <c r="I1180" s="12"/>
      <c r="N1180" s="12"/>
      <c r="S1180" s="12"/>
      <c r="X1180" s="12"/>
      <c r="AM1180" s="12"/>
    </row>
    <row r="1181" spans="9:39" x14ac:dyDescent="0.3">
      <c r="I1181" s="12"/>
      <c r="N1181" s="12"/>
      <c r="S1181" s="12"/>
      <c r="X1181" s="12"/>
      <c r="AM1181" s="12"/>
    </row>
    <row r="1182" spans="9:39" x14ac:dyDescent="0.3">
      <c r="I1182" s="12"/>
      <c r="N1182" s="12"/>
      <c r="S1182" s="12"/>
      <c r="X1182" s="12"/>
      <c r="AM1182" s="12"/>
    </row>
    <row r="1183" spans="9:39" x14ac:dyDescent="0.3">
      <c r="I1183" s="12"/>
      <c r="N1183" s="12"/>
      <c r="S1183" s="12"/>
      <c r="X1183" s="12"/>
      <c r="AM1183" s="12"/>
    </row>
    <row r="1184" spans="9:39" x14ac:dyDescent="0.3">
      <c r="I1184" s="12"/>
      <c r="N1184" s="12"/>
      <c r="S1184" s="12"/>
      <c r="X1184" s="12"/>
      <c r="AM1184" s="12"/>
    </row>
    <row r="1185" spans="9:39" x14ac:dyDescent="0.3">
      <c r="I1185" s="12"/>
      <c r="N1185" s="12"/>
      <c r="S1185" s="12"/>
      <c r="X1185" s="12"/>
      <c r="AM1185" s="12"/>
    </row>
    <row r="1186" spans="9:39" x14ac:dyDescent="0.3">
      <c r="I1186" s="12"/>
      <c r="N1186" s="12"/>
      <c r="S1186" s="12"/>
      <c r="X1186" s="12"/>
      <c r="AM1186" s="12"/>
    </row>
    <row r="1187" spans="9:39" x14ac:dyDescent="0.3">
      <c r="I1187" s="12"/>
      <c r="N1187" s="12"/>
      <c r="S1187" s="12"/>
      <c r="X1187" s="12"/>
      <c r="AM1187" s="12"/>
    </row>
    <row r="1188" spans="9:39" x14ac:dyDescent="0.3">
      <c r="I1188" s="12"/>
      <c r="N1188" s="12"/>
      <c r="S1188" s="12"/>
      <c r="X1188" s="12"/>
      <c r="AM1188" s="12"/>
    </row>
    <row r="1189" spans="9:39" x14ac:dyDescent="0.3">
      <c r="I1189" s="12"/>
      <c r="N1189" s="12"/>
      <c r="S1189" s="12"/>
      <c r="X1189" s="12"/>
      <c r="AM1189" s="12"/>
    </row>
    <row r="1190" spans="9:39" x14ac:dyDescent="0.3">
      <c r="I1190" s="12"/>
      <c r="N1190" s="12"/>
      <c r="S1190" s="12"/>
      <c r="X1190" s="12"/>
      <c r="AM1190" s="12"/>
    </row>
    <row r="1191" spans="9:39" x14ac:dyDescent="0.3">
      <c r="I1191" s="12"/>
      <c r="N1191" s="12"/>
      <c r="S1191" s="12"/>
      <c r="X1191" s="12"/>
      <c r="AM1191" s="12"/>
    </row>
    <row r="1192" spans="9:39" x14ac:dyDescent="0.3">
      <c r="I1192" s="12"/>
      <c r="N1192" s="12"/>
      <c r="S1192" s="12"/>
      <c r="X1192" s="12"/>
      <c r="AM1192" s="12"/>
    </row>
    <row r="1193" spans="9:39" x14ac:dyDescent="0.3">
      <c r="I1193" s="12"/>
      <c r="N1193" s="12"/>
      <c r="S1193" s="12"/>
      <c r="X1193" s="12"/>
      <c r="AM1193" s="12"/>
    </row>
    <row r="1194" spans="9:39" x14ac:dyDescent="0.3">
      <c r="I1194" s="12"/>
      <c r="N1194" s="12"/>
      <c r="S1194" s="12"/>
      <c r="X1194" s="12"/>
      <c r="AM1194" s="12"/>
    </row>
    <row r="1195" spans="9:39" x14ac:dyDescent="0.3">
      <c r="I1195" s="12"/>
      <c r="N1195" s="12"/>
      <c r="S1195" s="12"/>
      <c r="X1195" s="12"/>
      <c r="AM1195" s="12"/>
    </row>
    <row r="1196" spans="9:39" x14ac:dyDescent="0.3">
      <c r="I1196" s="12"/>
      <c r="N1196" s="12"/>
      <c r="S1196" s="12"/>
      <c r="X1196" s="12"/>
      <c r="AM1196" s="12"/>
    </row>
    <row r="1197" spans="9:39" x14ac:dyDescent="0.3">
      <c r="I1197" s="12"/>
      <c r="N1197" s="12"/>
      <c r="S1197" s="12"/>
      <c r="X1197" s="12"/>
      <c r="AM1197" s="12"/>
    </row>
    <row r="1198" spans="9:39" x14ac:dyDescent="0.3">
      <c r="I1198" s="12"/>
      <c r="N1198" s="12"/>
      <c r="S1198" s="12"/>
      <c r="X1198" s="12"/>
      <c r="AM1198" s="12"/>
    </row>
    <row r="1199" spans="9:39" x14ac:dyDescent="0.3">
      <c r="I1199" s="12"/>
      <c r="N1199" s="12"/>
      <c r="S1199" s="12"/>
      <c r="X1199" s="12"/>
      <c r="AM1199" s="12"/>
    </row>
    <row r="1200" spans="9:39" x14ac:dyDescent="0.3">
      <c r="I1200" s="12"/>
      <c r="N1200" s="12"/>
      <c r="S1200" s="12"/>
      <c r="X1200" s="12"/>
      <c r="AM1200" s="12"/>
    </row>
    <row r="1201" spans="9:39" x14ac:dyDescent="0.3">
      <c r="I1201" s="12"/>
      <c r="N1201" s="12"/>
      <c r="S1201" s="12"/>
      <c r="X1201" s="12"/>
      <c r="AM1201" s="12"/>
    </row>
    <row r="1202" spans="9:39" x14ac:dyDescent="0.3">
      <c r="I1202" s="12"/>
      <c r="N1202" s="12"/>
      <c r="S1202" s="12"/>
      <c r="X1202" s="12"/>
      <c r="AM1202" s="12"/>
    </row>
    <row r="1203" spans="9:39" x14ac:dyDescent="0.3">
      <c r="I1203" s="12"/>
      <c r="N1203" s="12"/>
      <c r="S1203" s="12"/>
      <c r="X1203" s="12"/>
      <c r="AM1203" s="12"/>
    </row>
    <row r="1204" spans="9:39" x14ac:dyDescent="0.3">
      <c r="I1204" s="12"/>
      <c r="N1204" s="12"/>
      <c r="S1204" s="12"/>
      <c r="X1204" s="12"/>
      <c r="AM1204" s="12"/>
    </row>
    <row r="1205" spans="9:39" x14ac:dyDescent="0.3">
      <c r="I1205" s="12"/>
      <c r="N1205" s="12"/>
      <c r="S1205" s="12"/>
      <c r="X1205" s="12"/>
      <c r="AM1205" s="12"/>
    </row>
    <row r="1206" spans="9:39" x14ac:dyDescent="0.3">
      <c r="I1206" s="12"/>
      <c r="N1206" s="12"/>
      <c r="S1206" s="12"/>
      <c r="X1206" s="12"/>
      <c r="AM1206" s="12"/>
    </row>
    <row r="1207" spans="9:39" x14ac:dyDescent="0.3">
      <c r="I1207" s="12"/>
      <c r="N1207" s="12"/>
      <c r="S1207" s="12"/>
      <c r="X1207" s="12"/>
      <c r="AM1207" s="12"/>
    </row>
    <row r="1208" spans="9:39" x14ac:dyDescent="0.3">
      <c r="I1208" s="12"/>
      <c r="N1208" s="12"/>
      <c r="S1208" s="12"/>
      <c r="X1208" s="12"/>
      <c r="AM1208" s="12"/>
    </row>
    <row r="1209" spans="9:39" x14ac:dyDescent="0.3">
      <c r="I1209" s="12"/>
      <c r="N1209" s="12"/>
      <c r="S1209" s="12"/>
      <c r="X1209" s="12"/>
      <c r="AM1209" s="12"/>
    </row>
    <row r="1210" spans="9:39" x14ac:dyDescent="0.3">
      <c r="I1210" s="12"/>
      <c r="N1210" s="12"/>
      <c r="S1210" s="12"/>
      <c r="X1210" s="12"/>
      <c r="AM1210" s="12"/>
    </row>
    <row r="1211" spans="9:39" x14ac:dyDescent="0.3">
      <c r="I1211" s="12"/>
      <c r="N1211" s="12"/>
      <c r="S1211" s="12"/>
      <c r="X1211" s="12"/>
      <c r="AM1211" s="12"/>
    </row>
    <row r="1212" spans="9:39" x14ac:dyDescent="0.3">
      <c r="I1212" s="12"/>
      <c r="N1212" s="12"/>
      <c r="S1212" s="12"/>
      <c r="X1212" s="12"/>
      <c r="AM1212" s="12"/>
    </row>
    <row r="1213" spans="9:39" x14ac:dyDescent="0.3">
      <c r="I1213" s="12"/>
      <c r="N1213" s="12"/>
      <c r="S1213" s="12"/>
      <c r="X1213" s="12"/>
      <c r="AM1213" s="12"/>
    </row>
    <row r="1214" spans="9:39" x14ac:dyDescent="0.3">
      <c r="I1214" s="12"/>
      <c r="N1214" s="12"/>
      <c r="S1214" s="12"/>
      <c r="X1214" s="12"/>
      <c r="AM1214" s="12"/>
    </row>
    <row r="1215" spans="9:39" x14ac:dyDescent="0.3">
      <c r="I1215" s="12"/>
      <c r="N1215" s="12"/>
      <c r="S1215" s="12"/>
      <c r="X1215" s="12"/>
      <c r="AM1215" s="12"/>
    </row>
    <row r="1216" spans="9:39" x14ac:dyDescent="0.3">
      <c r="I1216" s="12"/>
      <c r="N1216" s="12"/>
      <c r="S1216" s="12"/>
      <c r="X1216" s="12"/>
      <c r="AM1216" s="12"/>
    </row>
    <row r="1217" spans="9:39" x14ac:dyDescent="0.3">
      <c r="I1217" s="12"/>
      <c r="N1217" s="12"/>
      <c r="S1217" s="12"/>
      <c r="X1217" s="12"/>
      <c r="AM1217" s="12"/>
    </row>
    <row r="1218" spans="9:39" x14ac:dyDescent="0.3">
      <c r="I1218" s="12"/>
      <c r="N1218" s="12"/>
      <c r="S1218" s="12"/>
      <c r="X1218" s="12"/>
      <c r="AM1218" s="12"/>
    </row>
    <row r="1219" spans="9:39" x14ac:dyDescent="0.3">
      <c r="I1219" s="12"/>
      <c r="N1219" s="12"/>
      <c r="S1219" s="12"/>
      <c r="X1219" s="12"/>
      <c r="AM1219" s="12"/>
    </row>
    <row r="1220" spans="9:39" x14ac:dyDescent="0.3">
      <c r="I1220" s="12"/>
      <c r="N1220" s="12"/>
      <c r="S1220" s="12"/>
      <c r="X1220" s="12"/>
      <c r="AM1220" s="12"/>
    </row>
    <row r="1221" spans="9:39" x14ac:dyDescent="0.3">
      <c r="I1221" s="12"/>
      <c r="N1221" s="12"/>
      <c r="S1221" s="12"/>
      <c r="X1221" s="12"/>
      <c r="AM1221" s="12"/>
    </row>
    <row r="1222" spans="9:39" x14ac:dyDescent="0.3">
      <c r="I1222" s="12"/>
      <c r="N1222" s="12"/>
      <c r="S1222" s="12"/>
      <c r="X1222" s="12"/>
      <c r="AM1222" s="12"/>
    </row>
    <row r="1223" spans="9:39" x14ac:dyDescent="0.3">
      <c r="I1223" s="12"/>
      <c r="N1223" s="12"/>
      <c r="S1223" s="12"/>
      <c r="X1223" s="12"/>
      <c r="AM1223" s="12"/>
    </row>
    <row r="1224" spans="9:39" x14ac:dyDescent="0.3">
      <c r="I1224" s="12"/>
      <c r="N1224" s="12"/>
      <c r="S1224" s="12"/>
      <c r="X1224" s="12"/>
      <c r="AM1224" s="12"/>
    </row>
    <row r="1225" spans="9:39" x14ac:dyDescent="0.3">
      <c r="I1225" s="12"/>
      <c r="N1225" s="12"/>
      <c r="S1225" s="12"/>
      <c r="X1225" s="12"/>
      <c r="AM1225" s="12"/>
    </row>
    <row r="1226" spans="9:39" x14ac:dyDescent="0.3">
      <c r="I1226" s="12"/>
      <c r="N1226" s="12"/>
      <c r="S1226" s="12"/>
      <c r="X1226" s="12"/>
      <c r="AM1226" s="12"/>
    </row>
    <row r="1227" spans="9:39" x14ac:dyDescent="0.3">
      <c r="I1227" s="12"/>
      <c r="N1227" s="12"/>
      <c r="S1227" s="12"/>
      <c r="X1227" s="12"/>
      <c r="AM1227" s="12"/>
    </row>
    <row r="1228" spans="9:39" x14ac:dyDescent="0.3">
      <c r="I1228" s="12"/>
      <c r="N1228" s="12"/>
      <c r="S1228" s="12"/>
      <c r="X1228" s="12"/>
      <c r="AM1228" s="12"/>
    </row>
    <row r="1229" spans="9:39" x14ac:dyDescent="0.3">
      <c r="I1229" s="12"/>
      <c r="N1229" s="12"/>
      <c r="S1229" s="12"/>
      <c r="X1229" s="12"/>
      <c r="AM1229" s="12"/>
    </row>
    <row r="1230" spans="9:39" x14ac:dyDescent="0.3">
      <c r="I1230" s="12"/>
      <c r="N1230" s="12"/>
      <c r="S1230" s="12"/>
      <c r="X1230" s="12"/>
      <c r="AM1230" s="12"/>
    </row>
    <row r="1231" spans="9:39" x14ac:dyDescent="0.3">
      <c r="I1231" s="12"/>
      <c r="N1231" s="12"/>
      <c r="S1231" s="12"/>
      <c r="X1231" s="12"/>
      <c r="AM1231" s="12"/>
    </row>
    <row r="1232" spans="9:39" x14ac:dyDescent="0.3">
      <c r="I1232" s="12"/>
      <c r="N1232" s="12"/>
      <c r="S1232" s="12"/>
      <c r="X1232" s="12"/>
      <c r="AM1232" s="12"/>
    </row>
    <row r="1233" spans="9:39" x14ac:dyDescent="0.3">
      <c r="I1233" s="12"/>
      <c r="N1233" s="12"/>
      <c r="S1233" s="12"/>
      <c r="X1233" s="12"/>
      <c r="AM1233" s="12"/>
    </row>
    <row r="1234" spans="9:39" x14ac:dyDescent="0.3">
      <c r="I1234" s="12"/>
      <c r="N1234" s="12"/>
      <c r="S1234" s="12"/>
      <c r="X1234" s="12"/>
      <c r="AM1234" s="12"/>
    </row>
    <row r="1235" spans="9:39" x14ac:dyDescent="0.3">
      <c r="I1235" s="12"/>
      <c r="N1235" s="12"/>
      <c r="S1235" s="12"/>
      <c r="X1235" s="12"/>
      <c r="AM1235" s="12"/>
    </row>
    <row r="1236" spans="9:39" x14ac:dyDescent="0.3">
      <c r="I1236" s="12"/>
      <c r="N1236" s="12"/>
      <c r="S1236" s="12"/>
      <c r="X1236" s="12"/>
      <c r="AM1236" s="12"/>
    </row>
    <row r="1237" spans="9:39" x14ac:dyDescent="0.3">
      <c r="I1237" s="12"/>
      <c r="N1237" s="12"/>
      <c r="S1237" s="12"/>
      <c r="X1237" s="12"/>
      <c r="AM1237" s="12"/>
    </row>
    <row r="1238" spans="9:39" x14ac:dyDescent="0.3">
      <c r="I1238" s="12"/>
      <c r="N1238" s="12"/>
      <c r="S1238" s="12"/>
      <c r="X1238" s="12"/>
      <c r="AM1238" s="12"/>
    </row>
    <row r="1239" spans="9:39" x14ac:dyDescent="0.3">
      <c r="I1239" s="12"/>
      <c r="N1239" s="12"/>
      <c r="S1239" s="12"/>
      <c r="X1239" s="12"/>
      <c r="AM1239" s="12"/>
    </row>
    <row r="1240" spans="9:39" x14ac:dyDescent="0.3">
      <c r="I1240" s="12"/>
      <c r="N1240" s="12"/>
      <c r="S1240" s="12"/>
      <c r="X1240" s="12"/>
      <c r="AM1240" s="12"/>
    </row>
    <row r="1241" spans="9:39" x14ac:dyDescent="0.3">
      <c r="I1241" s="12"/>
      <c r="N1241" s="12"/>
      <c r="S1241" s="12"/>
      <c r="X1241" s="12"/>
      <c r="AM1241" s="12"/>
    </row>
    <row r="1242" spans="9:39" x14ac:dyDescent="0.3">
      <c r="I1242" s="12"/>
      <c r="N1242" s="12"/>
      <c r="S1242" s="12"/>
      <c r="X1242" s="12"/>
      <c r="AM1242" s="12"/>
    </row>
    <row r="1243" spans="9:39" x14ac:dyDescent="0.3">
      <c r="I1243" s="12"/>
      <c r="N1243" s="12"/>
      <c r="S1243" s="12"/>
      <c r="X1243" s="12"/>
      <c r="AM1243" s="12"/>
    </row>
    <row r="1244" spans="9:39" x14ac:dyDescent="0.3">
      <c r="I1244" s="12"/>
      <c r="N1244" s="12"/>
      <c r="S1244" s="12"/>
      <c r="X1244" s="12"/>
      <c r="AM1244" s="12"/>
    </row>
    <row r="1245" spans="9:39" x14ac:dyDescent="0.3">
      <c r="I1245" s="12"/>
      <c r="N1245" s="12"/>
      <c r="S1245" s="12"/>
      <c r="X1245" s="12"/>
      <c r="AM1245" s="12"/>
    </row>
    <row r="1246" spans="9:39" x14ac:dyDescent="0.3">
      <c r="I1246" s="12"/>
      <c r="N1246" s="12"/>
      <c r="S1246" s="12"/>
      <c r="X1246" s="12"/>
      <c r="AM1246" s="12"/>
    </row>
    <row r="1247" spans="9:39" x14ac:dyDescent="0.3">
      <c r="I1247" s="12"/>
      <c r="N1247" s="12"/>
      <c r="S1247" s="12"/>
      <c r="X1247" s="12"/>
      <c r="AM1247" s="12"/>
    </row>
    <row r="1248" spans="9:39" x14ac:dyDescent="0.3">
      <c r="I1248" s="12"/>
      <c r="N1248" s="12"/>
      <c r="S1248" s="12"/>
      <c r="X1248" s="12"/>
      <c r="AM1248" s="12"/>
    </row>
    <row r="1249" spans="9:39" x14ac:dyDescent="0.3">
      <c r="I1249" s="12"/>
      <c r="N1249" s="12"/>
      <c r="S1249" s="12"/>
      <c r="X1249" s="12"/>
      <c r="AM1249" s="12"/>
    </row>
    <row r="1250" spans="9:39" x14ac:dyDescent="0.3">
      <c r="I1250" s="12"/>
      <c r="N1250" s="12"/>
      <c r="S1250" s="12"/>
      <c r="X1250" s="12"/>
      <c r="AM1250" s="12"/>
    </row>
    <row r="1251" spans="9:39" x14ac:dyDescent="0.3">
      <c r="I1251" s="12"/>
      <c r="N1251" s="12"/>
      <c r="S1251" s="12"/>
      <c r="X1251" s="12"/>
      <c r="AM1251" s="12"/>
    </row>
    <row r="1252" spans="9:39" x14ac:dyDescent="0.3">
      <c r="I1252" s="12"/>
      <c r="N1252" s="12"/>
      <c r="S1252" s="12"/>
      <c r="X1252" s="12"/>
      <c r="AM1252" s="12"/>
    </row>
    <row r="1253" spans="9:39" x14ac:dyDescent="0.3">
      <c r="I1253" s="12"/>
      <c r="N1253" s="12"/>
      <c r="S1253" s="12"/>
      <c r="X1253" s="12"/>
      <c r="AM1253" s="12"/>
    </row>
    <row r="1254" spans="9:39" x14ac:dyDescent="0.3">
      <c r="I1254" s="12"/>
      <c r="N1254" s="12"/>
      <c r="S1254" s="12"/>
      <c r="X1254" s="12"/>
      <c r="AM1254" s="12"/>
    </row>
    <row r="1255" spans="9:39" x14ac:dyDescent="0.3">
      <c r="I1255" s="12"/>
      <c r="N1255" s="12"/>
      <c r="S1255" s="12"/>
      <c r="X1255" s="12"/>
      <c r="AM1255" s="12"/>
    </row>
    <row r="1256" spans="9:39" x14ac:dyDescent="0.3">
      <c r="I1256" s="12"/>
      <c r="N1256" s="12"/>
      <c r="S1256" s="12"/>
      <c r="X1256" s="12"/>
      <c r="AM1256" s="12"/>
    </row>
    <row r="1257" spans="9:39" x14ac:dyDescent="0.3">
      <c r="I1257" s="12"/>
      <c r="N1257" s="12"/>
      <c r="S1257" s="12"/>
      <c r="X1257" s="12"/>
      <c r="AM1257" s="12"/>
    </row>
    <row r="1258" spans="9:39" x14ac:dyDescent="0.3">
      <c r="I1258" s="12"/>
      <c r="N1258" s="12"/>
      <c r="S1258" s="12"/>
      <c r="X1258" s="12"/>
      <c r="AM1258" s="12"/>
    </row>
    <row r="1259" spans="9:39" x14ac:dyDescent="0.3">
      <c r="I1259" s="12"/>
      <c r="N1259" s="12"/>
      <c r="S1259" s="12"/>
      <c r="X1259" s="12"/>
      <c r="AM1259" s="12"/>
    </row>
    <row r="1260" spans="9:39" x14ac:dyDescent="0.3">
      <c r="I1260" s="12"/>
      <c r="N1260" s="12"/>
      <c r="S1260" s="12"/>
      <c r="X1260" s="12"/>
      <c r="AM1260" s="12"/>
    </row>
    <row r="1261" spans="9:39" x14ac:dyDescent="0.3">
      <c r="I1261" s="12"/>
      <c r="N1261" s="12"/>
      <c r="S1261" s="12"/>
      <c r="X1261" s="12"/>
      <c r="AM1261" s="12"/>
    </row>
    <row r="1262" spans="9:39" x14ac:dyDescent="0.3">
      <c r="I1262" s="12"/>
      <c r="N1262" s="12"/>
      <c r="S1262" s="12"/>
      <c r="X1262" s="12"/>
      <c r="AM1262" s="12"/>
    </row>
    <row r="1263" spans="9:39" x14ac:dyDescent="0.3">
      <c r="I1263" s="12"/>
      <c r="N1263" s="12"/>
      <c r="S1263" s="12"/>
      <c r="X1263" s="12"/>
      <c r="AM1263" s="12"/>
    </row>
    <row r="1264" spans="9:39" x14ac:dyDescent="0.3">
      <c r="I1264" s="12"/>
      <c r="N1264" s="12"/>
      <c r="S1264" s="12"/>
      <c r="X1264" s="12"/>
      <c r="AM1264" s="12"/>
    </row>
    <row r="1265" spans="9:39" x14ac:dyDescent="0.3">
      <c r="I1265" s="12"/>
      <c r="N1265" s="12"/>
      <c r="S1265" s="12"/>
      <c r="X1265" s="12"/>
      <c r="AM1265" s="12"/>
    </row>
    <row r="1266" spans="9:39" x14ac:dyDescent="0.3">
      <c r="I1266" s="12"/>
      <c r="N1266" s="12"/>
      <c r="S1266" s="12"/>
      <c r="X1266" s="12"/>
      <c r="AM1266" s="12"/>
    </row>
    <row r="1267" spans="9:39" x14ac:dyDescent="0.3">
      <c r="I1267" s="12"/>
      <c r="N1267" s="12"/>
      <c r="S1267" s="12"/>
      <c r="X1267" s="12"/>
      <c r="AM1267" s="12"/>
    </row>
    <row r="1268" spans="9:39" x14ac:dyDescent="0.3">
      <c r="I1268" s="12"/>
      <c r="N1268" s="12"/>
      <c r="S1268" s="12"/>
      <c r="X1268" s="12"/>
      <c r="AM1268" s="12"/>
    </row>
    <row r="1269" spans="9:39" x14ac:dyDescent="0.3">
      <c r="I1269" s="12"/>
      <c r="N1269" s="12"/>
      <c r="S1269" s="12"/>
      <c r="X1269" s="12"/>
      <c r="AM1269" s="12"/>
    </row>
    <row r="1270" spans="9:39" x14ac:dyDescent="0.3">
      <c r="I1270" s="12"/>
      <c r="N1270" s="12"/>
      <c r="S1270" s="12"/>
      <c r="X1270" s="12"/>
      <c r="AM1270" s="12"/>
    </row>
    <row r="1271" spans="9:39" x14ac:dyDescent="0.3">
      <c r="I1271" s="12"/>
      <c r="N1271" s="12"/>
      <c r="S1271" s="12"/>
      <c r="X1271" s="12"/>
      <c r="AM1271" s="12"/>
    </row>
    <row r="1272" spans="9:39" x14ac:dyDescent="0.3">
      <c r="I1272" s="12"/>
      <c r="N1272" s="12"/>
      <c r="S1272" s="12"/>
      <c r="X1272" s="12"/>
      <c r="AM1272" s="12"/>
    </row>
    <row r="1273" spans="9:39" x14ac:dyDescent="0.3">
      <c r="I1273" s="12"/>
      <c r="N1273" s="12"/>
      <c r="S1273" s="12"/>
      <c r="X1273" s="12"/>
      <c r="AM1273" s="12"/>
    </row>
    <row r="1274" spans="9:39" x14ac:dyDescent="0.3">
      <c r="I1274" s="12"/>
      <c r="N1274" s="12"/>
      <c r="S1274" s="12"/>
      <c r="X1274" s="12"/>
      <c r="AM1274" s="12"/>
    </row>
    <row r="1275" spans="9:39" x14ac:dyDescent="0.3">
      <c r="I1275" s="12"/>
      <c r="N1275" s="12"/>
      <c r="S1275" s="12"/>
      <c r="X1275" s="12"/>
      <c r="AM1275" s="12"/>
    </row>
    <row r="1276" spans="9:39" x14ac:dyDescent="0.3">
      <c r="I1276" s="12"/>
      <c r="N1276" s="12"/>
      <c r="S1276" s="12"/>
      <c r="X1276" s="12"/>
      <c r="AM1276" s="12"/>
    </row>
    <row r="1277" spans="9:39" x14ac:dyDescent="0.3">
      <c r="I1277" s="12"/>
      <c r="N1277" s="12"/>
      <c r="S1277" s="12"/>
      <c r="X1277" s="12"/>
      <c r="AM1277" s="12"/>
    </row>
    <row r="1278" spans="9:39" x14ac:dyDescent="0.3">
      <c r="I1278" s="12"/>
      <c r="N1278" s="12"/>
      <c r="S1278" s="12"/>
      <c r="X1278" s="12"/>
      <c r="AM1278" s="12"/>
    </row>
    <row r="1279" spans="9:39" x14ac:dyDescent="0.3">
      <c r="I1279" s="12"/>
      <c r="N1279" s="12"/>
      <c r="S1279" s="12"/>
      <c r="X1279" s="12"/>
      <c r="AM1279" s="12"/>
    </row>
    <row r="1280" spans="9:39" x14ac:dyDescent="0.3">
      <c r="I1280" s="12"/>
      <c r="N1280" s="12"/>
      <c r="S1280" s="12"/>
      <c r="X1280" s="12"/>
      <c r="AM1280" s="12"/>
    </row>
    <row r="1281" spans="9:39" x14ac:dyDescent="0.3">
      <c r="I1281" s="12"/>
      <c r="N1281" s="12"/>
      <c r="S1281" s="12"/>
      <c r="X1281" s="12"/>
      <c r="AM1281" s="12"/>
    </row>
    <row r="1282" spans="9:39" x14ac:dyDescent="0.3">
      <c r="I1282" s="12"/>
      <c r="N1282" s="12"/>
      <c r="S1282" s="12"/>
      <c r="X1282" s="12"/>
      <c r="AM1282" s="12"/>
    </row>
    <row r="1283" spans="9:39" x14ac:dyDescent="0.3">
      <c r="I1283" s="12"/>
      <c r="N1283" s="12"/>
      <c r="S1283" s="12"/>
      <c r="X1283" s="12"/>
      <c r="AM1283" s="12"/>
    </row>
    <row r="1284" spans="9:39" x14ac:dyDescent="0.3">
      <c r="I1284" s="12"/>
      <c r="N1284" s="12"/>
      <c r="S1284" s="12"/>
      <c r="X1284" s="12"/>
      <c r="AM1284" s="12"/>
    </row>
    <row r="1285" spans="9:39" x14ac:dyDescent="0.3">
      <c r="I1285" s="12"/>
      <c r="N1285" s="12"/>
      <c r="S1285" s="12"/>
      <c r="X1285" s="12"/>
      <c r="AM1285" s="12"/>
    </row>
    <row r="1286" spans="9:39" x14ac:dyDescent="0.3">
      <c r="I1286" s="12"/>
      <c r="N1286" s="12"/>
      <c r="S1286" s="12"/>
      <c r="X1286" s="12"/>
      <c r="AM1286" s="12"/>
    </row>
    <row r="1287" spans="9:39" x14ac:dyDescent="0.3">
      <c r="I1287" s="12"/>
      <c r="N1287" s="12"/>
      <c r="S1287" s="12"/>
      <c r="X1287" s="12"/>
      <c r="AM1287" s="12"/>
    </row>
    <row r="1288" spans="9:39" x14ac:dyDescent="0.3">
      <c r="I1288" s="12"/>
      <c r="N1288" s="12"/>
      <c r="S1288" s="12"/>
      <c r="X1288" s="12"/>
      <c r="AM1288" s="12"/>
    </row>
    <row r="1289" spans="9:39" x14ac:dyDescent="0.3">
      <c r="I1289" s="12"/>
      <c r="N1289" s="12"/>
      <c r="S1289" s="12"/>
      <c r="X1289" s="12"/>
      <c r="AM1289" s="12"/>
    </row>
    <row r="1290" spans="9:39" x14ac:dyDescent="0.3">
      <c r="I1290" s="12"/>
      <c r="N1290" s="12"/>
      <c r="S1290" s="12"/>
      <c r="X1290" s="12"/>
      <c r="AM1290" s="12"/>
    </row>
    <row r="1291" spans="9:39" x14ac:dyDescent="0.3">
      <c r="I1291" s="12"/>
      <c r="N1291" s="12"/>
      <c r="S1291" s="12"/>
      <c r="X1291" s="12"/>
      <c r="AM1291" s="12"/>
    </row>
    <row r="1292" spans="9:39" x14ac:dyDescent="0.3">
      <c r="I1292" s="12"/>
      <c r="N1292" s="12"/>
      <c r="S1292" s="12"/>
      <c r="X1292" s="12"/>
      <c r="AM1292" s="12"/>
    </row>
    <row r="1293" spans="9:39" x14ac:dyDescent="0.3">
      <c r="I1293" s="12"/>
      <c r="N1293" s="12"/>
      <c r="S1293" s="12"/>
      <c r="X1293" s="12"/>
      <c r="AM1293" s="12"/>
    </row>
    <row r="1294" spans="9:39" x14ac:dyDescent="0.3">
      <c r="I1294" s="12"/>
      <c r="N1294" s="12"/>
      <c r="S1294" s="12"/>
      <c r="X1294" s="12"/>
      <c r="AM1294" s="12"/>
    </row>
    <row r="1295" spans="9:39" x14ac:dyDescent="0.3">
      <c r="I1295" s="12"/>
      <c r="N1295" s="12"/>
      <c r="S1295" s="12"/>
      <c r="X1295" s="12"/>
      <c r="AM1295" s="12"/>
    </row>
    <row r="1296" spans="9:39" x14ac:dyDescent="0.3">
      <c r="I1296" s="12"/>
      <c r="N1296" s="12"/>
      <c r="S1296" s="12"/>
      <c r="X1296" s="12"/>
      <c r="AM1296" s="12"/>
    </row>
    <row r="1297" spans="9:39" x14ac:dyDescent="0.3">
      <c r="I1297" s="12"/>
      <c r="N1297" s="12"/>
      <c r="S1297" s="12"/>
      <c r="X1297" s="12"/>
      <c r="AM1297" s="12"/>
    </row>
    <row r="1298" spans="9:39" x14ac:dyDescent="0.3">
      <c r="I1298" s="12"/>
      <c r="N1298" s="12"/>
      <c r="S1298" s="12"/>
      <c r="X1298" s="12"/>
      <c r="AM1298" s="12"/>
    </row>
    <row r="1299" spans="9:39" x14ac:dyDescent="0.3">
      <c r="I1299" s="12"/>
      <c r="N1299" s="12"/>
      <c r="S1299" s="12"/>
      <c r="X1299" s="12"/>
      <c r="AM1299" s="12"/>
    </row>
    <row r="1300" spans="9:39" x14ac:dyDescent="0.3">
      <c r="I1300" s="12"/>
      <c r="N1300" s="12"/>
      <c r="S1300" s="12"/>
      <c r="X1300" s="12"/>
      <c r="AM1300" s="12"/>
    </row>
    <row r="1301" spans="9:39" x14ac:dyDescent="0.3">
      <c r="I1301" s="12"/>
      <c r="N1301" s="12"/>
      <c r="S1301" s="12"/>
      <c r="X1301" s="12"/>
      <c r="AM1301" s="12"/>
    </row>
    <row r="1302" spans="9:39" x14ac:dyDescent="0.3">
      <c r="I1302" s="12"/>
      <c r="N1302" s="12"/>
      <c r="S1302" s="12"/>
      <c r="X1302" s="12"/>
      <c r="AM1302" s="12"/>
    </row>
    <row r="1303" spans="9:39" x14ac:dyDescent="0.3">
      <c r="I1303" s="12"/>
      <c r="N1303" s="12"/>
      <c r="S1303" s="12"/>
      <c r="X1303" s="12"/>
      <c r="AM1303" s="12"/>
    </row>
    <row r="1304" spans="9:39" x14ac:dyDescent="0.3">
      <c r="I1304" s="12"/>
      <c r="N1304" s="12"/>
      <c r="S1304" s="12"/>
      <c r="X1304" s="12"/>
      <c r="AM1304" s="12"/>
    </row>
    <row r="1305" spans="9:39" x14ac:dyDescent="0.3">
      <c r="I1305" s="12"/>
      <c r="N1305" s="12"/>
      <c r="S1305" s="12"/>
      <c r="X1305" s="12"/>
      <c r="AM1305" s="12"/>
    </row>
    <row r="1306" spans="9:39" x14ac:dyDescent="0.3">
      <c r="I1306" s="12"/>
      <c r="N1306" s="12"/>
      <c r="S1306" s="12"/>
      <c r="X1306" s="12"/>
      <c r="AM1306" s="12"/>
    </row>
    <row r="1307" spans="9:39" x14ac:dyDescent="0.3">
      <c r="I1307" s="12"/>
      <c r="N1307" s="12"/>
      <c r="S1307" s="12"/>
      <c r="X1307" s="12"/>
      <c r="AM1307" s="12"/>
    </row>
    <row r="1308" spans="9:39" x14ac:dyDescent="0.3">
      <c r="I1308" s="12"/>
      <c r="N1308" s="12"/>
      <c r="S1308" s="12"/>
      <c r="X1308" s="12"/>
      <c r="AM1308" s="12"/>
    </row>
    <row r="1309" spans="9:39" x14ac:dyDescent="0.3">
      <c r="I1309" s="12"/>
      <c r="N1309" s="12"/>
      <c r="S1309" s="12"/>
      <c r="X1309" s="12"/>
      <c r="AM1309" s="12"/>
    </row>
    <row r="1310" spans="9:39" x14ac:dyDescent="0.3">
      <c r="I1310" s="12"/>
      <c r="N1310" s="12"/>
      <c r="S1310" s="12"/>
      <c r="X1310" s="12"/>
      <c r="AM1310" s="12"/>
    </row>
    <row r="1311" spans="9:39" x14ac:dyDescent="0.3">
      <c r="I1311" s="12"/>
      <c r="N1311" s="12"/>
      <c r="S1311" s="12"/>
      <c r="X1311" s="12"/>
      <c r="AM1311" s="12"/>
    </row>
    <row r="1312" spans="9:39" x14ac:dyDescent="0.3">
      <c r="I1312" s="12"/>
      <c r="N1312" s="12"/>
      <c r="S1312" s="12"/>
      <c r="X1312" s="12"/>
      <c r="AM1312" s="12"/>
    </row>
    <row r="1313" spans="9:39" x14ac:dyDescent="0.3">
      <c r="I1313" s="12"/>
      <c r="N1313" s="12"/>
      <c r="S1313" s="12"/>
      <c r="X1313" s="12"/>
      <c r="AM1313" s="12"/>
    </row>
    <row r="1314" spans="9:39" x14ac:dyDescent="0.3">
      <c r="I1314" s="12"/>
      <c r="N1314" s="12"/>
      <c r="S1314" s="12"/>
      <c r="X1314" s="12"/>
      <c r="AM1314" s="12"/>
    </row>
    <row r="1315" spans="9:39" x14ac:dyDescent="0.3">
      <c r="I1315" s="12"/>
      <c r="N1315" s="12"/>
      <c r="S1315" s="12"/>
      <c r="X1315" s="12"/>
      <c r="AM1315" s="12"/>
    </row>
    <row r="1316" spans="9:39" x14ac:dyDescent="0.3">
      <c r="I1316" s="12"/>
      <c r="N1316" s="12"/>
      <c r="S1316" s="12"/>
      <c r="X1316" s="12"/>
      <c r="AM1316" s="12"/>
    </row>
    <row r="1317" spans="9:39" x14ac:dyDescent="0.3">
      <c r="I1317" s="12"/>
      <c r="N1317" s="12"/>
      <c r="S1317" s="12"/>
      <c r="X1317" s="12"/>
      <c r="AM1317" s="12"/>
    </row>
    <row r="1318" spans="9:39" x14ac:dyDescent="0.3">
      <c r="I1318" s="12"/>
      <c r="N1318" s="12"/>
      <c r="S1318" s="12"/>
      <c r="X1318" s="12"/>
      <c r="AM1318" s="12"/>
    </row>
    <row r="1319" spans="9:39" x14ac:dyDescent="0.3">
      <c r="I1319" s="12"/>
      <c r="N1319" s="12"/>
      <c r="S1319" s="12"/>
      <c r="X1319" s="12"/>
      <c r="AM1319" s="12"/>
    </row>
    <row r="1320" spans="9:39" x14ac:dyDescent="0.3">
      <c r="I1320" s="12"/>
      <c r="N1320" s="12"/>
      <c r="S1320" s="12"/>
      <c r="X1320" s="12"/>
      <c r="AM1320" s="12"/>
    </row>
    <row r="1321" spans="9:39" x14ac:dyDescent="0.3">
      <c r="I1321" s="12"/>
      <c r="N1321" s="12"/>
      <c r="S1321" s="12"/>
      <c r="X1321" s="12"/>
      <c r="AM1321" s="12"/>
    </row>
    <row r="1322" spans="9:39" x14ac:dyDescent="0.3">
      <c r="I1322" s="12"/>
      <c r="N1322" s="12"/>
      <c r="S1322" s="12"/>
      <c r="X1322" s="12"/>
      <c r="AM1322" s="12"/>
    </row>
    <row r="1323" spans="9:39" x14ac:dyDescent="0.3">
      <c r="I1323" s="12"/>
      <c r="N1323" s="12"/>
      <c r="S1323" s="12"/>
      <c r="X1323" s="12"/>
      <c r="AM1323" s="12"/>
    </row>
    <row r="1324" spans="9:39" x14ac:dyDescent="0.3">
      <c r="I1324" s="12"/>
      <c r="N1324" s="12"/>
      <c r="S1324" s="12"/>
      <c r="X1324" s="12"/>
      <c r="AM1324" s="12"/>
    </row>
    <row r="1325" spans="9:39" x14ac:dyDescent="0.3">
      <c r="I1325" s="12"/>
      <c r="N1325" s="12"/>
      <c r="S1325" s="12"/>
      <c r="X1325" s="12"/>
      <c r="AM1325" s="12"/>
    </row>
    <row r="1326" spans="9:39" x14ac:dyDescent="0.3">
      <c r="I1326" s="12"/>
      <c r="N1326" s="12"/>
      <c r="S1326" s="12"/>
      <c r="X1326" s="12"/>
      <c r="AM1326" s="12"/>
    </row>
    <row r="1327" spans="9:39" x14ac:dyDescent="0.3">
      <c r="I1327" s="12"/>
      <c r="N1327" s="12"/>
      <c r="S1327" s="12"/>
      <c r="X1327" s="12"/>
      <c r="AM1327" s="12"/>
    </row>
    <row r="1328" spans="9:39" x14ac:dyDescent="0.3">
      <c r="I1328" s="12"/>
      <c r="N1328" s="12"/>
      <c r="S1328" s="12"/>
      <c r="X1328" s="12"/>
      <c r="AM1328" s="12"/>
    </row>
    <row r="1329" spans="9:39" x14ac:dyDescent="0.3">
      <c r="I1329" s="12"/>
      <c r="N1329" s="12"/>
      <c r="S1329" s="12"/>
      <c r="X1329" s="12"/>
      <c r="AM1329" s="12"/>
    </row>
    <row r="1330" spans="9:39" x14ac:dyDescent="0.3">
      <c r="I1330" s="12"/>
      <c r="N1330" s="12"/>
      <c r="S1330" s="12"/>
      <c r="X1330" s="12"/>
      <c r="AM1330" s="12"/>
    </row>
    <row r="1331" spans="9:39" x14ac:dyDescent="0.3">
      <c r="I1331" s="12"/>
      <c r="N1331" s="12"/>
      <c r="S1331" s="12"/>
      <c r="X1331" s="12"/>
      <c r="AM1331" s="12"/>
    </row>
    <row r="1332" spans="9:39" x14ac:dyDescent="0.3">
      <c r="I1332" s="12"/>
      <c r="N1332" s="12"/>
      <c r="S1332" s="12"/>
      <c r="X1332" s="12"/>
      <c r="AM1332" s="12"/>
    </row>
    <row r="1333" spans="9:39" x14ac:dyDescent="0.3">
      <c r="I1333" s="12"/>
      <c r="N1333" s="12"/>
      <c r="S1333" s="12"/>
      <c r="X1333" s="12"/>
      <c r="AM1333" s="12"/>
    </row>
    <row r="1334" spans="9:39" x14ac:dyDescent="0.3">
      <c r="I1334" s="12"/>
      <c r="N1334" s="12"/>
      <c r="S1334" s="12"/>
      <c r="X1334" s="12"/>
      <c r="AM1334" s="12"/>
    </row>
    <row r="1335" spans="9:39" x14ac:dyDescent="0.3">
      <c r="I1335" s="12"/>
      <c r="N1335" s="12"/>
      <c r="S1335" s="12"/>
      <c r="X1335" s="12"/>
      <c r="AM1335" s="12"/>
    </row>
    <row r="1336" spans="9:39" x14ac:dyDescent="0.3">
      <c r="I1336" s="12"/>
      <c r="N1336" s="12"/>
      <c r="S1336" s="12"/>
      <c r="X1336" s="12"/>
      <c r="AM1336" s="12"/>
    </row>
    <row r="1337" spans="9:39" x14ac:dyDescent="0.3">
      <c r="I1337" s="12"/>
      <c r="N1337" s="12"/>
      <c r="S1337" s="12"/>
      <c r="X1337" s="12"/>
      <c r="AM1337" s="12"/>
    </row>
    <row r="1338" spans="9:39" x14ac:dyDescent="0.3">
      <c r="I1338" s="12"/>
      <c r="N1338" s="12"/>
      <c r="S1338" s="12"/>
      <c r="X1338" s="12"/>
      <c r="AM1338" s="12"/>
    </row>
    <row r="1339" spans="9:39" x14ac:dyDescent="0.3">
      <c r="I1339" s="12"/>
      <c r="N1339" s="12"/>
      <c r="S1339" s="12"/>
      <c r="X1339" s="12"/>
      <c r="AM1339" s="12"/>
    </row>
    <row r="1340" spans="9:39" x14ac:dyDescent="0.3">
      <c r="I1340" s="12"/>
      <c r="N1340" s="12"/>
      <c r="S1340" s="12"/>
      <c r="X1340" s="12"/>
      <c r="AM1340" s="12"/>
    </row>
    <row r="1341" spans="9:39" x14ac:dyDescent="0.3">
      <c r="I1341" s="12"/>
      <c r="N1341" s="12"/>
      <c r="S1341" s="12"/>
      <c r="X1341" s="12"/>
      <c r="AM1341" s="12"/>
    </row>
    <row r="1342" spans="9:39" x14ac:dyDescent="0.3">
      <c r="I1342" s="12"/>
      <c r="N1342" s="12"/>
      <c r="S1342" s="12"/>
      <c r="X1342" s="12"/>
      <c r="AM1342" s="12"/>
    </row>
    <row r="1343" spans="9:39" x14ac:dyDescent="0.3">
      <c r="I1343" s="12"/>
      <c r="N1343" s="12"/>
      <c r="S1343" s="12"/>
      <c r="X1343" s="12"/>
      <c r="AM1343" s="12"/>
    </row>
    <row r="1344" spans="9:39" x14ac:dyDescent="0.3">
      <c r="I1344" s="12"/>
      <c r="N1344" s="12"/>
      <c r="S1344" s="12"/>
      <c r="X1344" s="12"/>
      <c r="AM1344" s="12"/>
    </row>
    <row r="1345" spans="9:39" x14ac:dyDescent="0.3">
      <c r="I1345" s="12"/>
      <c r="N1345" s="12"/>
      <c r="S1345" s="12"/>
      <c r="X1345" s="12"/>
      <c r="AM1345" s="12"/>
    </row>
    <row r="1346" spans="9:39" x14ac:dyDescent="0.3">
      <c r="I1346" s="12"/>
      <c r="N1346" s="12"/>
      <c r="S1346" s="12"/>
      <c r="X1346" s="12"/>
      <c r="AM1346" s="12"/>
    </row>
    <row r="1347" spans="9:39" x14ac:dyDescent="0.3">
      <c r="I1347" s="12"/>
      <c r="N1347" s="12"/>
      <c r="S1347" s="12"/>
      <c r="X1347" s="12"/>
      <c r="AM1347" s="12"/>
    </row>
    <row r="1348" spans="9:39" x14ac:dyDescent="0.3">
      <c r="I1348" s="12"/>
      <c r="N1348" s="12"/>
      <c r="S1348" s="12"/>
      <c r="X1348" s="12"/>
      <c r="AM1348" s="12"/>
    </row>
    <row r="1349" spans="9:39" x14ac:dyDescent="0.3">
      <c r="I1349" s="12"/>
      <c r="N1349" s="12"/>
      <c r="S1349" s="12"/>
      <c r="X1349" s="12"/>
      <c r="AM1349" s="12"/>
    </row>
    <row r="1350" spans="9:39" x14ac:dyDescent="0.3">
      <c r="I1350" s="12"/>
      <c r="N1350" s="12"/>
      <c r="S1350" s="12"/>
      <c r="X1350" s="12"/>
      <c r="AM1350" s="12"/>
    </row>
    <row r="1351" spans="9:39" x14ac:dyDescent="0.3">
      <c r="I1351" s="12"/>
      <c r="N1351" s="12"/>
      <c r="S1351" s="12"/>
      <c r="X1351" s="12"/>
      <c r="AM1351" s="12"/>
    </row>
    <row r="1352" spans="9:39" x14ac:dyDescent="0.3">
      <c r="I1352" s="12"/>
      <c r="N1352" s="12"/>
      <c r="S1352" s="12"/>
      <c r="X1352" s="12"/>
      <c r="AM1352" s="12"/>
    </row>
    <row r="1353" spans="9:39" x14ac:dyDescent="0.3">
      <c r="I1353" s="12"/>
      <c r="N1353" s="12"/>
      <c r="S1353" s="12"/>
      <c r="X1353" s="12"/>
      <c r="AM1353" s="12"/>
    </row>
    <row r="1354" spans="9:39" x14ac:dyDescent="0.3">
      <c r="I1354" s="12"/>
      <c r="N1354" s="12"/>
      <c r="S1354" s="12"/>
      <c r="X1354" s="12"/>
      <c r="AM1354" s="12"/>
    </row>
    <row r="1355" spans="9:39" x14ac:dyDescent="0.3">
      <c r="I1355" s="12"/>
      <c r="N1355" s="12"/>
      <c r="S1355" s="12"/>
      <c r="X1355" s="12"/>
      <c r="AM1355" s="12"/>
    </row>
    <row r="1356" spans="9:39" x14ac:dyDescent="0.3">
      <c r="I1356" s="12"/>
      <c r="N1356" s="12"/>
      <c r="S1356" s="12"/>
      <c r="X1356" s="12"/>
      <c r="AM1356" s="12"/>
    </row>
    <row r="1357" spans="9:39" x14ac:dyDescent="0.3">
      <c r="I1357" s="12"/>
      <c r="N1357" s="12"/>
      <c r="S1357" s="12"/>
      <c r="X1357" s="12"/>
      <c r="AM1357" s="12"/>
    </row>
    <row r="1358" spans="9:39" x14ac:dyDescent="0.3">
      <c r="I1358" s="12"/>
      <c r="N1358" s="12"/>
      <c r="S1358" s="12"/>
      <c r="X1358" s="12"/>
      <c r="AM1358" s="12"/>
    </row>
    <row r="1359" spans="9:39" x14ac:dyDescent="0.3">
      <c r="I1359" s="12"/>
      <c r="N1359" s="12"/>
      <c r="S1359" s="12"/>
      <c r="X1359" s="12"/>
      <c r="AM1359" s="12"/>
    </row>
    <row r="1360" spans="9:39" x14ac:dyDescent="0.3">
      <c r="I1360" s="12"/>
      <c r="N1360" s="12"/>
      <c r="S1360" s="12"/>
      <c r="X1360" s="12"/>
      <c r="AM1360" s="12"/>
    </row>
    <row r="1361" spans="9:39" x14ac:dyDescent="0.3">
      <c r="I1361" s="12"/>
      <c r="N1361" s="12"/>
      <c r="S1361" s="12"/>
      <c r="X1361" s="12"/>
      <c r="AM1361" s="12"/>
    </row>
    <row r="1362" spans="9:39" x14ac:dyDescent="0.3">
      <c r="I1362" s="12"/>
      <c r="N1362" s="12"/>
      <c r="S1362" s="12"/>
      <c r="X1362" s="12"/>
      <c r="AM1362" s="12"/>
    </row>
    <row r="1363" spans="9:39" x14ac:dyDescent="0.3">
      <c r="I1363" s="12"/>
      <c r="N1363" s="12"/>
      <c r="S1363" s="12"/>
      <c r="X1363" s="12"/>
      <c r="AM1363" s="12"/>
    </row>
    <row r="1364" spans="9:39" x14ac:dyDescent="0.3">
      <c r="I1364" s="12"/>
      <c r="N1364" s="12"/>
      <c r="S1364" s="12"/>
      <c r="X1364" s="12"/>
      <c r="AM1364" s="12"/>
    </row>
    <row r="1365" spans="9:39" x14ac:dyDescent="0.3">
      <c r="I1365" s="12"/>
      <c r="N1365" s="12"/>
      <c r="S1365" s="12"/>
      <c r="X1365" s="12"/>
      <c r="AM1365" s="12"/>
    </row>
    <row r="1366" spans="9:39" x14ac:dyDescent="0.3">
      <c r="I1366" s="12"/>
      <c r="N1366" s="12"/>
      <c r="S1366" s="12"/>
      <c r="X1366" s="12"/>
      <c r="AM1366" s="12"/>
    </row>
    <row r="1367" spans="9:39" x14ac:dyDescent="0.3">
      <c r="I1367" s="12"/>
      <c r="N1367" s="12"/>
      <c r="S1367" s="12"/>
      <c r="X1367" s="12"/>
      <c r="AM1367" s="12"/>
    </row>
    <row r="1368" spans="9:39" x14ac:dyDescent="0.3">
      <c r="I1368" s="12"/>
      <c r="N1368" s="12"/>
      <c r="S1368" s="12"/>
      <c r="X1368" s="12"/>
      <c r="AM1368" s="12"/>
    </row>
    <row r="1369" spans="9:39" x14ac:dyDescent="0.3">
      <c r="I1369" s="12"/>
      <c r="N1369" s="12"/>
      <c r="S1369" s="12"/>
      <c r="X1369" s="12"/>
      <c r="AM1369" s="12"/>
    </row>
    <row r="1370" spans="9:39" x14ac:dyDescent="0.3">
      <c r="I1370" s="12"/>
      <c r="N1370" s="12"/>
      <c r="S1370" s="12"/>
      <c r="X1370" s="12"/>
      <c r="AM1370" s="12"/>
    </row>
    <row r="1371" spans="9:39" x14ac:dyDescent="0.3">
      <c r="I1371" s="12"/>
      <c r="N1371" s="12"/>
      <c r="S1371" s="12"/>
      <c r="X1371" s="12"/>
      <c r="AM1371" s="12"/>
    </row>
    <row r="1372" spans="9:39" x14ac:dyDescent="0.3">
      <c r="I1372" s="12"/>
      <c r="N1372" s="12"/>
      <c r="S1372" s="12"/>
      <c r="X1372" s="12"/>
      <c r="AM1372" s="12"/>
    </row>
    <row r="1373" spans="9:39" x14ac:dyDescent="0.3">
      <c r="I1373" s="12"/>
      <c r="N1373" s="12"/>
      <c r="S1373" s="12"/>
      <c r="X1373" s="12"/>
      <c r="AM1373" s="12"/>
    </row>
    <row r="1374" spans="9:39" x14ac:dyDescent="0.3">
      <c r="I1374" s="12"/>
      <c r="N1374" s="12"/>
      <c r="S1374" s="12"/>
      <c r="X1374" s="12"/>
      <c r="AM1374" s="12"/>
    </row>
    <row r="1375" spans="9:39" x14ac:dyDescent="0.3">
      <c r="I1375" s="12"/>
      <c r="N1375" s="12"/>
      <c r="S1375" s="12"/>
      <c r="X1375" s="12"/>
      <c r="AM1375" s="12"/>
    </row>
    <row r="1376" spans="9:39" x14ac:dyDescent="0.3">
      <c r="I1376" s="12"/>
      <c r="N1376" s="12"/>
      <c r="S1376" s="12"/>
      <c r="X1376" s="12"/>
      <c r="AM1376" s="12"/>
    </row>
    <row r="1377" spans="9:39" x14ac:dyDescent="0.3">
      <c r="I1377" s="12"/>
      <c r="N1377" s="12"/>
      <c r="S1377" s="12"/>
      <c r="X1377" s="12"/>
      <c r="AM1377" s="12"/>
    </row>
    <row r="1378" spans="9:39" x14ac:dyDescent="0.3">
      <c r="I1378" s="12"/>
      <c r="N1378" s="12"/>
      <c r="S1378" s="12"/>
      <c r="X1378" s="12"/>
      <c r="AM1378" s="12"/>
    </row>
    <row r="1379" spans="9:39" x14ac:dyDescent="0.3">
      <c r="I1379" s="12"/>
      <c r="N1379" s="12"/>
      <c r="S1379" s="12"/>
      <c r="X1379" s="12"/>
      <c r="AM1379" s="12"/>
    </row>
    <row r="1380" spans="9:39" x14ac:dyDescent="0.3">
      <c r="I1380" s="12"/>
      <c r="N1380" s="12"/>
      <c r="S1380" s="12"/>
      <c r="X1380" s="12"/>
      <c r="AM1380" s="12"/>
    </row>
    <row r="1381" spans="9:39" x14ac:dyDescent="0.3">
      <c r="I1381" s="12"/>
      <c r="N1381" s="12"/>
      <c r="S1381" s="12"/>
      <c r="X1381" s="12"/>
      <c r="AM1381" s="12"/>
    </row>
    <row r="1382" spans="9:39" x14ac:dyDescent="0.3">
      <c r="I1382" s="12"/>
      <c r="N1382" s="12"/>
      <c r="S1382" s="12"/>
      <c r="X1382" s="12"/>
      <c r="AM1382" s="12"/>
    </row>
    <row r="1383" spans="9:39" x14ac:dyDescent="0.3">
      <c r="I1383" s="12"/>
      <c r="N1383" s="12"/>
      <c r="S1383" s="12"/>
      <c r="X1383" s="12"/>
      <c r="AM1383" s="12"/>
    </row>
    <row r="1384" spans="9:39" x14ac:dyDescent="0.3">
      <c r="I1384" s="12"/>
      <c r="N1384" s="12"/>
      <c r="S1384" s="12"/>
      <c r="X1384" s="12"/>
      <c r="AM1384" s="12"/>
    </row>
    <row r="1385" spans="9:39" x14ac:dyDescent="0.3">
      <c r="I1385" s="12"/>
      <c r="N1385" s="12"/>
      <c r="S1385" s="12"/>
      <c r="X1385" s="12"/>
      <c r="AM1385" s="12"/>
    </row>
    <row r="1386" spans="9:39" x14ac:dyDescent="0.3">
      <c r="I1386" s="12"/>
      <c r="N1386" s="12"/>
      <c r="S1386" s="12"/>
      <c r="X1386" s="12"/>
      <c r="AM1386" s="12"/>
    </row>
    <row r="1387" spans="9:39" x14ac:dyDescent="0.3">
      <c r="I1387" s="12"/>
      <c r="N1387" s="12"/>
      <c r="S1387" s="12"/>
      <c r="X1387" s="12"/>
      <c r="AM1387" s="12"/>
    </row>
    <row r="1388" spans="9:39" x14ac:dyDescent="0.3">
      <c r="I1388" s="12"/>
      <c r="N1388" s="12"/>
      <c r="S1388" s="12"/>
      <c r="X1388" s="12"/>
      <c r="AM1388" s="12"/>
    </row>
    <row r="1389" spans="9:39" x14ac:dyDescent="0.3">
      <c r="I1389" s="12"/>
      <c r="N1389" s="12"/>
      <c r="S1389" s="12"/>
      <c r="X1389" s="12"/>
      <c r="AM1389" s="12"/>
    </row>
    <row r="1390" spans="9:39" x14ac:dyDescent="0.3">
      <c r="I1390" s="12"/>
      <c r="N1390" s="12"/>
      <c r="S1390" s="12"/>
      <c r="X1390" s="12"/>
      <c r="AM1390" s="12"/>
    </row>
    <row r="1391" spans="9:39" x14ac:dyDescent="0.3">
      <c r="I1391" s="12"/>
      <c r="N1391" s="12"/>
      <c r="S1391" s="12"/>
      <c r="X1391" s="12"/>
      <c r="AM1391" s="12"/>
    </row>
    <row r="1392" spans="9:39" x14ac:dyDescent="0.3">
      <c r="I1392" s="12"/>
      <c r="N1392" s="12"/>
      <c r="S1392" s="12"/>
      <c r="X1392" s="12"/>
      <c r="AM1392" s="12"/>
    </row>
    <row r="1393" spans="9:39" x14ac:dyDescent="0.3">
      <c r="I1393" s="12"/>
      <c r="N1393" s="12"/>
      <c r="S1393" s="12"/>
      <c r="X1393" s="12"/>
      <c r="AM1393" s="12"/>
    </row>
    <row r="1394" spans="9:39" x14ac:dyDescent="0.3">
      <c r="I1394" s="12"/>
      <c r="N1394" s="12"/>
      <c r="S1394" s="12"/>
      <c r="X1394" s="12"/>
      <c r="AM1394" s="12"/>
    </row>
    <row r="1395" spans="9:39" x14ac:dyDescent="0.3">
      <c r="I1395" s="12"/>
      <c r="N1395" s="12"/>
      <c r="S1395" s="12"/>
      <c r="X1395" s="12"/>
      <c r="AM1395" s="12"/>
    </row>
    <row r="1396" spans="9:39" x14ac:dyDescent="0.3">
      <c r="I1396" s="12"/>
      <c r="N1396" s="12"/>
      <c r="S1396" s="12"/>
      <c r="X1396" s="12"/>
      <c r="AM1396" s="12"/>
    </row>
    <row r="1397" spans="9:39" x14ac:dyDescent="0.3">
      <c r="I1397" s="12"/>
      <c r="N1397" s="12"/>
      <c r="S1397" s="12"/>
      <c r="X1397" s="12"/>
      <c r="AM1397" s="12"/>
    </row>
    <row r="1398" spans="9:39" x14ac:dyDescent="0.3">
      <c r="I1398" s="12"/>
      <c r="N1398" s="12"/>
      <c r="S1398" s="12"/>
      <c r="X1398" s="12"/>
      <c r="AM1398" s="12"/>
    </row>
    <row r="1399" spans="9:39" x14ac:dyDescent="0.3">
      <c r="I1399" s="12"/>
      <c r="N1399" s="12"/>
      <c r="S1399" s="12"/>
      <c r="X1399" s="12"/>
      <c r="AM1399" s="12"/>
    </row>
    <row r="1400" spans="9:39" x14ac:dyDescent="0.3">
      <c r="I1400" s="12"/>
      <c r="N1400" s="12"/>
      <c r="S1400" s="12"/>
      <c r="X1400" s="12"/>
      <c r="AM1400" s="12"/>
    </row>
    <row r="1401" spans="9:39" x14ac:dyDescent="0.3">
      <c r="I1401" s="12"/>
      <c r="N1401" s="12"/>
      <c r="S1401" s="12"/>
      <c r="X1401" s="12"/>
      <c r="AM1401" s="12"/>
    </row>
    <row r="1402" spans="9:39" x14ac:dyDescent="0.3">
      <c r="I1402" s="12"/>
      <c r="N1402" s="12"/>
      <c r="S1402" s="12"/>
      <c r="X1402" s="12"/>
      <c r="AM1402" s="12"/>
    </row>
    <row r="1403" spans="9:39" x14ac:dyDescent="0.3">
      <c r="I1403" s="12"/>
      <c r="N1403" s="12"/>
      <c r="S1403" s="12"/>
      <c r="X1403" s="12"/>
      <c r="AM1403" s="12"/>
    </row>
    <row r="1404" spans="9:39" x14ac:dyDescent="0.3">
      <c r="I1404" s="12"/>
      <c r="N1404" s="12"/>
      <c r="S1404" s="12"/>
      <c r="X1404" s="12"/>
      <c r="AM1404" s="12"/>
    </row>
    <row r="1405" spans="9:39" x14ac:dyDescent="0.3">
      <c r="I1405" s="12"/>
      <c r="N1405" s="12"/>
      <c r="S1405" s="12"/>
      <c r="X1405" s="12"/>
      <c r="AM1405" s="12"/>
    </row>
    <row r="1406" spans="9:39" x14ac:dyDescent="0.3">
      <c r="I1406" s="12"/>
      <c r="N1406" s="12"/>
      <c r="S1406" s="12"/>
      <c r="X1406" s="12"/>
      <c r="AM1406" s="12"/>
    </row>
    <row r="1407" spans="9:39" x14ac:dyDescent="0.3">
      <c r="I1407" s="12"/>
      <c r="N1407" s="12"/>
      <c r="S1407" s="12"/>
      <c r="X1407" s="12"/>
      <c r="AM1407" s="12"/>
    </row>
    <row r="1408" spans="9:39" x14ac:dyDescent="0.3">
      <c r="I1408" s="12"/>
      <c r="N1408" s="12"/>
      <c r="S1408" s="12"/>
      <c r="X1408" s="12"/>
      <c r="AM1408" s="12"/>
    </row>
    <row r="1409" spans="9:39" x14ac:dyDescent="0.3">
      <c r="I1409" s="12"/>
      <c r="N1409" s="12"/>
      <c r="S1409" s="12"/>
      <c r="X1409" s="12"/>
      <c r="AM1409" s="12"/>
    </row>
    <row r="1410" spans="9:39" x14ac:dyDescent="0.3">
      <c r="I1410" s="12"/>
      <c r="N1410" s="12"/>
      <c r="S1410" s="12"/>
      <c r="X1410" s="12"/>
      <c r="AM1410" s="12"/>
    </row>
    <row r="1411" spans="9:39" x14ac:dyDescent="0.3">
      <c r="I1411" s="12"/>
      <c r="N1411" s="12"/>
      <c r="S1411" s="12"/>
      <c r="X1411" s="12"/>
      <c r="AM1411" s="12"/>
    </row>
    <row r="1412" spans="9:39" x14ac:dyDescent="0.3">
      <c r="I1412" s="12"/>
      <c r="N1412" s="12"/>
      <c r="S1412" s="12"/>
      <c r="X1412" s="12"/>
      <c r="AM1412" s="12"/>
    </row>
    <row r="1413" spans="9:39" x14ac:dyDescent="0.3">
      <c r="I1413" s="12"/>
      <c r="N1413" s="12"/>
      <c r="S1413" s="12"/>
      <c r="X1413" s="12"/>
      <c r="AM1413" s="12"/>
    </row>
    <row r="1414" spans="9:39" x14ac:dyDescent="0.3">
      <c r="I1414" s="12"/>
      <c r="N1414" s="12"/>
      <c r="S1414" s="12"/>
      <c r="X1414" s="12"/>
      <c r="AM1414" s="12"/>
    </row>
    <row r="1415" spans="9:39" x14ac:dyDescent="0.3">
      <c r="I1415" s="12"/>
      <c r="N1415" s="12"/>
      <c r="S1415" s="12"/>
      <c r="X1415" s="12"/>
      <c r="AM1415" s="12"/>
    </row>
    <row r="1416" spans="9:39" x14ac:dyDescent="0.3">
      <c r="I1416" s="12"/>
      <c r="N1416" s="12"/>
      <c r="S1416" s="12"/>
      <c r="X1416" s="12"/>
      <c r="AM1416" s="12"/>
    </row>
    <row r="1417" spans="9:39" x14ac:dyDescent="0.3">
      <c r="I1417" s="12"/>
      <c r="N1417" s="12"/>
      <c r="S1417" s="12"/>
      <c r="X1417" s="12"/>
      <c r="AM1417" s="12"/>
    </row>
    <row r="1418" spans="9:39" x14ac:dyDescent="0.3">
      <c r="I1418" s="12"/>
      <c r="N1418" s="12"/>
      <c r="S1418" s="12"/>
      <c r="X1418" s="12"/>
      <c r="AM1418" s="12"/>
    </row>
    <row r="1419" spans="9:39" x14ac:dyDescent="0.3">
      <c r="I1419" s="12"/>
      <c r="N1419" s="12"/>
      <c r="S1419" s="12"/>
      <c r="X1419" s="12"/>
      <c r="AM1419" s="12"/>
    </row>
    <row r="1420" spans="9:39" x14ac:dyDescent="0.3">
      <c r="I1420" s="12"/>
      <c r="N1420" s="12"/>
      <c r="S1420" s="12"/>
      <c r="X1420" s="12"/>
      <c r="AM1420" s="12"/>
    </row>
    <row r="1421" spans="9:39" x14ac:dyDescent="0.3">
      <c r="I1421" s="12"/>
      <c r="N1421" s="12"/>
      <c r="S1421" s="12"/>
      <c r="X1421" s="12"/>
      <c r="AM1421" s="12"/>
    </row>
    <row r="1422" spans="9:39" x14ac:dyDescent="0.3">
      <c r="I1422" s="12"/>
      <c r="N1422" s="12"/>
      <c r="S1422" s="12"/>
      <c r="X1422" s="12"/>
      <c r="AM1422" s="12"/>
    </row>
    <row r="1423" spans="9:39" x14ac:dyDescent="0.3">
      <c r="I1423" s="12"/>
      <c r="N1423" s="12"/>
      <c r="S1423" s="12"/>
      <c r="X1423" s="12"/>
      <c r="AM1423" s="12"/>
    </row>
    <row r="1424" spans="9:39" x14ac:dyDescent="0.3">
      <c r="I1424" s="12"/>
      <c r="N1424" s="12"/>
      <c r="S1424" s="12"/>
      <c r="X1424" s="12"/>
      <c r="AM1424" s="12"/>
    </row>
    <row r="1425" spans="9:39" x14ac:dyDescent="0.3">
      <c r="I1425" s="12"/>
      <c r="N1425" s="12"/>
      <c r="S1425" s="12"/>
      <c r="X1425" s="12"/>
      <c r="AM1425" s="12"/>
    </row>
    <row r="1426" spans="9:39" x14ac:dyDescent="0.3">
      <c r="I1426" s="12"/>
      <c r="N1426" s="12"/>
      <c r="S1426" s="12"/>
      <c r="X1426" s="12"/>
      <c r="AM1426" s="12"/>
    </row>
    <row r="1427" spans="9:39" x14ac:dyDescent="0.3">
      <c r="I1427" s="12"/>
      <c r="N1427" s="12"/>
      <c r="S1427" s="12"/>
      <c r="X1427" s="12"/>
      <c r="AM1427" s="12"/>
    </row>
    <row r="1428" spans="9:39" x14ac:dyDescent="0.3">
      <c r="I1428" s="12"/>
      <c r="N1428" s="12"/>
      <c r="S1428" s="12"/>
      <c r="X1428" s="12"/>
      <c r="AM1428" s="12"/>
    </row>
    <row r="1429" spans="9:39" x14ac:dyDescent="0.3">
      <c r="I1429" s="12"/>
      <c r="N1429" s="12"/>
      <c r="S1429" s="12"/>
      <c r="X1429" s="12"/>
      <c r="AM1429" s="12"/>
    </row>
    <row r="1430" spans="9:39" x14ac:dyDescent="0.3">
      <c r="I1430" s="12"/>
      <c r="N1430" s="12"/>
      <c r="S1430" s="12"/>
      <c r="X1430" s="12"/>
      <c r="AM1430" s="12"/>
    </row>
    <row r="1431" spans="9:39" x14ac:dyDescent="0.3">
      <c r="I1431" s="12"/>
      <c r="N1431" s="12"/>
      <c r="S1431" s="12"/>
      <c r="X1431" s="12"/>
      <c r="AM1431" s="12"/>
    </row>
    <row r="1432" spans="9:39" x14ac:dyDescent="0.3">
      <c r="I1432" s="12"/>
      <c r="N1432" s="12"/>
      <c r="S1432" s="12"/>
      <c r="X1432" s="12"/>
      <c r="AM1432" s="12"/>
    </row>
    <row r="1433" spans="9:39" x14ac:dyDescent="0.3">
      <c r="I1433" s="12"/>
      <c r="N1433" s="12"/>
      <c r="S1433" s="12"/>
      <c r="X1433" s="12"/>
      <c r="AM1433" s="12"/>
    </row>
    <row r="1434" spans="9:39" x14ac:dyDescent="0.3">
      <c r="I1434" s="12"/>
      <c r="N1434" s="12"/>
      <c r="S1434" s="12"/>
      <c r="X1434" s="12"/>
      <c r="AM1434" s="12"/>
    </row>
    <row r="1435" spans="9:39" x14ac:dyDescent="0.3">
      <c r="I1435" s="12"/>
      <c r="N1435" s="12"/>
      <c r="S1435" s="12"/>
      <c r="X1435" s="12"/>
      <c r="AM1435" s="12"/>
    </row>
    <row r="1436" spans="9:39" x14ac:dyDescent="0.3">
      <c r="I1436" s="12"/>
      <c r="N1436" s="12"/>
      <c r="S1436" s="12"/>
      <c r="X1436" s="12"/>
      <c r="AM1436" s="12"/>
    </row>
    <row r="1437" spans="9:39" x14ac:dyDescent="0.3">
      <c r="I1437" s="12"/>
      <c r="N1437" s="12"/>
      <c r="S1437" s="12"/>
      <c r="X1437" s="12"/>
      <c r="AM1437" s="12"/>
    </row>
    <row r="1438" spans="9:39" x14ac:dyDescent="0.3">
      <c r="I1438" s="12"/>
      <c r="N1438" s="12"/>
      <c r="S1438" s="12"/>
      <c r="X1438" s="12"/>
      <c r="AM1438" s="12"/>
    </row>
    <row r="1439" spans="9:39" x14ac:dyDescent="0.3">
      <c r="I1439" s="12"/>
      <c r="N1439" s="12"/>
      <c r="S1439" s="12"/>
      <c r="X1439" s="12"/>
      <c r="AM1439" s="12"/>
    </row>
    <row r="1440" spans="9:39" x14ac:dyDescent="0.3">
      <c r="I1440" s="12"/>
      <c r="N1440" s="12"/>
      <c r="S1440" s="12"/>
      <c r="X1440" s="12"/>
      <c r="AM1440" s="12"/>
    </row>
    <row r="1441" spans="9:39" x14ac:dyDescent="0.3">
      <c r="I1441" s="12"/>
      <c r="N1441" s="12"/>
      <c r="S1441" s="12"/>
      <c r="X1441" s="12"/>
      <c r="AM1441" s="12"/>
    </row>
    <row r="1442" spans="9:39" x14ac:dyDescent="0.3">
      <c r="I1442" s="12"/>
      <c r="N1442" s="12"/>
      <c r="S1442" s="12"/>
      <c r="X1442" s="12"/>
      <c r="AM1442" s="12"/>
    </row>
    <row r="1443" spans="9:39" x14ac:dyDescent="0.3">
      <c r="I1443" s="12"/>
      <c r="N1443" s="12"/>
      <c r="S1443" s="12"/>
      <c r="X1443" s="12"/>
      <c r="AM1443" s="12"/>
    </row>
    <row r="1444" spans="9:39" x14ac:dyDescent="0.3">
      <c r="I1444" s="12"/>
      <c r="N1444" s="12"/>
      <c r="S1444" s="12"/>
      <c r="X1444" s="12"/>
      <c r="AM1444" s="12"/>
    </row>
    <row r="1445" spans="9:39" x14ac:dyDescent="0.3">
      <c r="I1445" s="12"/>
      <c r="N1445" s="12"/>
      <c r="S1445" s="12"/>
      <c r="X1445" s="12"/>
      <c r="AM1445" s="12"/>
    </row>
    <row r="1446" spans="9:39" x14ac:dyDescent="0.3">
      <c r="I1446" s="12"/>
      <c r="N1446" s="12"/>
      <c r="S1446" s="12"/>
      <c r="X1446" s="12"/>
      <c r="AM1446" s="12"/>
    </row>
    <row r="1447" spans="9:39" x14ac:dyDescent="0.3">
      <c r="I1447" s="12"/>
      <c r="N1447" s="12"/>
      <c r="S1447" s="12"/>
      <c r="X1447" s="12"/>
      <c r="AM1447" s="12"/>
    </row>
    <row r="1448" spans="9:39" x14ac:dyDescent="0.3">
      <c r="I1448" s="12"/>
      <c r="N1448" s="12"/>
      <c r="S1448" s="12"/>
      <c r="X1448" s="12"/>
      <c r="AM1448" s="12"/>
    </row>
    <row r="1449" spans="9:39" x14ac:dyDescent="0.3">
      <c r="I1449" s="12"/>
      <c r="N1449" s="12"/>
      <c r="S1449" s="12"/>
      <c r="X1449" s="12"/>
      <c r="AM1449" s="12"/>
    </row>
    <row r="1450" spans="9:39" x14ac:dyDescent="0.3">
      <c r="I1450" s="12"/>
      <c r="N1450" s="12"/>
      <c r="S1450" s="12"/>
      <c r="X1450" s="12"/>
      <c r="AM1450" s="12"/>
    </row>
    <row r="1451" spans="9:39" x14ac:dyDescent="0.3">
      <c r="I1451" s="12"/>
      <c r="N1451" s="12"/>
      <c r="S1451" s="12"/>
      <c r="X1451" s="12"/>
      <c r="AM1451" s="12"/>
    </row>
    <row r="1452" spans="9:39" x14ac:dyDescent="0.3">
      <c r="I1452" s="12"/>
      <c r="N1452" s="12"/>
      <c r="S1452" s="12"/>
      <c r="X1452" s="12"/>
      <c r="AM1452" s="12"/>
    </row>
    <row r="1453" spans="9:39" x14ac:dyDescent="0.3">
      <c r="I1453" s="12"/>
      <c r="N1453" s="12"/>
      <c r="S1453" s="12"/>
      <c r="X1453" s="12"/>
      <c r="AM1453" s="12"/>
    </row>
    <row r="1454" spans="9:39" x14ac:dyDescent="0.3">
      <c r="I1454" s="12"/>
      <c r="N1454" s="12"/>
      <c r="S1454" s="12"/>
      <c r="X1454" s="12"/>
      <c r="AM1454" s="12"/>
    </row>
    <row r="1455" spans="9:39" x14ac:dyDescent="0.3">
      <c r="I1455" s="12"/>
      <c r="N1455" s="12"/>
      <c r="S1455" s="12"/>
      <c r="X1455" s="12"/>
      <c r="AM1455" s="12"/>
    </row>
    <row r="1456" spans="9:39" x14ac:dyDescent="0.3">
      <c r="I1456" s="12"/>
      <c r="N1456" s="12"/>
      <c r="S1456" s="12"/>
      <c r="X1456" s="12"/>
      <c r="AM1456" s="12"/>
    </row>
    <row r="1457" spans="9:39" x14ac:dyDescent="0.3">
      <c r="I1457" s="12"/>
      <c r="N1457" s="12"/>
      <c r="S1457" s="12"/>
      <c r="X1457" s="12"/>
      <c r="AM1457" s="12"/>
    </row>
    <row r="1458" spans="9:39" x14ac:dyDescent="0.3">
      <c r="I1458" s="12"/>
      <c r="N1458" s="12"/>
      <c r="S1458" s="12"/>
      <c r="X1458" s="12"/>
      <c r="AM1458" s="12"/>
    </row>
    <row r="1459" spans="9:39" x14ac:dyDescent="0.3">
      <c r="I1459" s="12"/>
      <c r="N1459" s="12"/>
      <c r="S1459" s="12"/>
      <c r="X1459" s="12"/>
      <c r="AM1459" s="12"/>
    </row>
    <row r="1460" spans="9:39" x14ac:dyDescent="0.3">
      <c r="I1460" s="12"/>
      <c r="N1460" s="12"/>
      <c r="S1460" s="12"/>
      <c r="X1460" s="12"/>
      <c r="AM1460" s="12"/>
    </row>
    <row r="1461" spans="9:39" x14ac:dyDescent="0.3">
      <c r="I1461" s="12"/>
      <c r="N1461" s="12"/>
      <c r="S1461" s="12"/>
      <c r="X1461" s="12"/>
      <c r="AM1461" s="12"/>
    </row>
    <row r="1462" spans="9:39" x14ac:dyDescent="0.3">
      <c r="I1462" s="12"/>
      <c r="N1462" s="12"/>
      <c r="S1462" s="12"/>
      <c r="X1462" s="12"/>
      <c r="AM1462" s="12"/>
    </row>
    <row r="1463" spans="9:39" x14ac:dyDescent="0.3">
      <c r="I1463" s="12"/>
      <c r="N1463" s="12"/>
      <c r="S1463" s="12"/>
      <c r="X1463" s="12"/>
      <c r="AM1463" s="12"/>
    </row>
    <row r="1464" spans="9:39" x14ac:dyDescent="0.3">
      <c r="I1464" s="12"/>
      <c r="N1464" s="12"/>
      <c r="S1464" s="12"/>
      <c r="X1464" s="12"/>
      <c r="AM1464" s="12"/>
    </row>
    <row r="1465" spans="9:39" x14ac:dyDescent="0.3">
      <c r="I1465" s="12"/>
      <c r="N1465" s="12"/>
      <c r="S1465" s="12"/>
      <c r="X1465" s="12"/>
      <c r="AM1465" s="12"/>
    </row>
    <row r="1466" spans="9:39" x14ac:dyDescent="0.3">
      <c r="I1466" s="12"/>
      <c r="N1466" s="12"/>
      <c r="S1466" s="12"/>
      <c r="X1466" s="12"/>
      <c r="AM1466" s="12"/>
    </row>
    <row r="1467" spans="9:39" x14ac:dyDescent="0.3">
      <c r="I1467" s="12"/>
      <c r="N1467" s="12"/>
      <c r="S1467" s="12"/>
      <c r="X1467" s="12"/>
      <c r="AM1467" s="12"/>
    </row>
    <row r="1468" spans="9:39" x14ac:dyDescent="0.3">
      <c r="I1468" s="12"/>
      <c r="N1468" s="12"/>
      <c r="S1468" s="12"/>
      <c r="X1468" s="12"/>
      <c r="AM1468" s="12"/>
    </row>
    <row r="1469" spans="9:39" x14ac:dyDescent="0.3">
      <c r="I1469" s="12"/>
      <c r="N1469" s="12"/>
      <c r="S1469" s="12"/>
      <c r="X1469" s="12"/>
      <c r="AM1469" s="12"/>
    </row>
    <row r="1470" spans="9:39" x14ac:dyDescent="0.3">
      <c r="I1470" s="12"/>
      <c r="N1470" s="12"/>
      <c r="S1470" s="12"/>
      <c r="X1470" s="12"/>
      <c r="AM1470" s="12"/>
    </row>
    <row r="1471" spans="9:39" x14ac:dyDescent="0.3">
      <c r="I1471" s="12"/>
      <c r="N1471" s="12"/>
      <c r="S1471" s="12"/>
      <c r="X1471" s="12"/>
      <c r="AM1471" s="12"/>
    </row>
    <row r="1472" spans="9:39" x14ac:dyDescent="0.3">
      <c r="I1472" s="12"/>
      <c r="N1472" s="12"/>
      <c r="S1472" s="12"/>
      <c r="X1472" s="12"/>
      <c r="AM1472" s="12"/>
    </row>
    <row r="1473" spans="9:39" x14ac:dyDescent="0.3">
      <c r="I1473" s="12"/>
      <c r="N1473" s="12"/>
      <c r="S1473" s="12"/>
      <c r="X1473" s="12"/>
      <c r="AM1473" s="12"/>
    </row>
    <row r="1474" spans="9:39" x14ac:dyDescent="0.3">
      <c r="I1474" s="12"/>
      <c r="N1474" s="12"/>
      <c r="S1474" s="12"/>
      <c r="X1474" s="12"/>
      <c r="AM1474" s="12"/>
    </row>
    <row r="1475" spans="9:39" x14ac:dyDescent="0.3">
      <c r="I1475" s="12"/>
      <c r="N1475" s="12"/>
      <c r="S1475" s="12"/>
      <c r="X1475" s="12"/>
      <c r="AM1475" s="12"/>
    </row>
    <row r="1476" spans="9:39" x14ac:dyDescent="0.3">
      <c r="I1476" s="12"/>
      <c r="N1476" s="12"/>
      <c r="S1476" s="12"/>
      <c r="X1476" s="12"/>
      <c r="AM1476" s="12"/>
    </row>
    <row r="1477" spans="9:39" x14ac:dyDescent="0.3">
      <c r="I1477" s="12"/>
      <c r="N1477" s="12"/>
      <c r="S1477" s="12"/>
      <c r="X1477" s="12"/>
      <c r="AM1477" s="12"/>
    </row>
    <row r="1478" spans="9:39" x14ac:dyDescent="0.3">
      <c r="I1478" s="12"/>
      <c r="N1478" s="12"/>
      <c r="S1478" s="12"/>
      <c r="X1478" s="12"/>
      <c r="AM1478" s="12"/>
    </row>
    <row r="1479" spans="9:39" x14ac:dyDescent="0.3">
      <c r="I1479" s="12"/>
      <c r="N1479" s="12"/>
      <c r="S1479" s="12"/>
      <c r="X1479" s="12"/>
      <c r="AM1479" s="12"/>
    </row>
    <row r="1480" spans="9:39" x14ac:dyDescent="0.3">
      <c r="I1480" s="12"/>
      <c r="N1480" s="12"/>
      <c r="S1480" s="12"/>
      <c r="X1480" s="12"/>
      <c r="AM1480" s="12"/>
    </row>
    <row r="1481" spans="9:39" x14ac:dyDescent="0.3">
      <c r="I1481" s="12"/>
      <c r="N1481" s="12"/>
      <c r="S1481" s="12"/>
      <c r="X1481" s="12"/>
      <c r="AM1481" s="12"/>
    </row>
    <row r="1482" spans="9:39" x14ac:dyDescent="0.3">
      <c r="I1482" s="12"/>
      <c r="N1482" s="12"/>
      <c r="S1482" s="12"/>
      <c r="X1482" s="12"/>
      <c r="AM1482" s="12"/>
    </row>
    <row r="1483" spans="9:39" x14ac:dyDescent="0.3">
      <c r="I1483" s="12"/>
      <c r="N1483" s="12"/>
      <c r="S1483" s="12"/>
      <c r="X1483" s="12"/>
      <c r="AM1483" s="12"/>
    </row>
    <row r="1484" spans="9:39" x14ac:dyDescent="0.3">
      <c r="I1484" s="12"/>
      <c r="N1484" s="12"/>
      <c r="S1484" s="12"/>
      <c r="X1484" s="12"/>
      <c r="AM1484" s="12"/>
    </row>
    <row r="1485" spans="9:39" x14ac:dyDescent="0.3">
      <c r="I1485" s="12"/>
      <c r="N1485" s="12"/>
      <c r="S1485" s="12"/>
      <c r="X1485" s="12"/>
      <c r="AM1485" s="12"/>
    </row>
    <row r="1486" spans="9:39" x14ac:dyDescent="0.3">
      <c r="I1486" s="12"/>
      <c r="N1486" s="12"/>
      <c r="S1486" s="12"/>
      <c r="X1486" s="12"/>
      <c r="AM1486" s="12"/>
    </row>
    <row r="1487" spans="9:39" x14ac:dyDescent="0.3">
      <c r="I1487" s="12"/>
      <c r="N1487" s="12"/>
      <c r="S1487" s="12"/>
      <c r="X1487" s="12"/>
      <c r="AM1487" s="12"/>
    </row>
    <row r="1488" spans="9:39" x14ac:dyDescent="0.3">
      <c r="I1488" s="12"/>
      <c r="N1488" s="12"/>
      <c r="S1488" s="12"/>
      <c r="X1488" s="12"/>
      <c r="AM1488" s="12"/>
    </row>
    <row r="1489" spans="9:39" x14ac:dyDescent="0.3">
      <c r="I1489" s="12"/>
      <c r="N1489" s="12"/>
      <c r="S1489" s="12"/>
      <c r="X1489" s="12"/>
      <c r="AM1489" s="12"/>
    </row>
    <row r="1490" spans="9:39" x14ac:dyDescent="0.3">
      <c r="I1490" s="12"/>
      <c r="N1490" s="12"/>
      <c r="S1490" s="12"/>
      <c r="X1490" s="12"/>
      <c r="AM1490" s="12"/>
    </row>
    <row r="1491" spans="9:39" x14ac:dyDescent="0.3">
      <c r="I1491" s="12"/>
      <c r="N1491" s="12"/>
      <c r="S1491" s="12"/>
      <c r="X1491" s="12"/>
      <c r="AM1491" s="12"/>
    </row>
    <row r="1492" spans="9:39" x14ac:dyDescent="0.3">
      <c r="I1492" s="12"/>
      <c r="N1492" s="12"/>
      <c r="S1492" s="12"/>
      <c r="X1492" s="12"/>
      <c r="AM1492" s="12"/>
    </row>
    <row r="1493" spans="9:39" x14ac:dyDescent="0.3">
      <c r="I1493" s="12"/>
      <c r="N1493" s="12"/>
      <c r="S1493" s="12"/>
      <c r="X1493" s="12"/>
      <c r="AM1493" s="12"/>
    </row>
    <row r="1494" spans="9:39" x14ac:dyDescent="0.3">
      <c r="I1494" s="12"/>
      <c r="N1494" s="12"/>
      <c r="S1494" s="12"/>
      <c r="X1494" s="12"/>
      <c r="AM1494" s="12"/>
    </row>
    <row r="1495" spans="9:39" x14ac:dyDescent="0.3">
      <c r="I1495" s="12"/>
      <c r="N1495" s="12"/>
      <c r="S1495" s="12"/>
      <c r="X1495" s="12"/>
      <c r="AM1495" s="12"/>
    </row>
    <row r="1496" spans="9:39" x14ac:dyDescent="0.3">
      <c r="I1496" s="12"/>
      <c r="N1496" s="12"/>
      <c r="S1496" s="12"/>
      <c r="X1496" s="12"/>
      <c r="AM1496" s="12"/>
    </row>
    <row r="1497" spans="9:39" x14ac:dyDescent="0.3">
      <c r="I1497" s="12"/>
      <c r="N1497" s="12"/>
      <c r="S1497" s="12"/>
      <c r="X1497" s="12"/>
      <c r="AM1497" s="12"/>
    </row>
    <row r="1498" spans="9:39" x14ac:dyDescent="0.3">
      <c r="I1498" s="12"/>
      <c r="N1498" s="12"/>
      <c r="S1498" s="12"/>
      <c r="X1498" s="12"/>
      <c r="AM1498" s="12"/>
    </row>
    <row r="1499" spans="9:39" x14ac:dyDescent="0.3">
      <c r="I1499" s="12"/>
      <c r="N1499" s="12"/>
      <c r="S1499" s="12"/>
      <c r="X1499" s="12"/>
      <c r="AM1499" s="12"/>
    </row>
    <row r="1500" spans="9:39" x14ac:dyDescent="0.3">
      <c r="I1500" s="12"/>
      <c r="N1500" s="12"/>
      <c r="S1500" s="12"/>
      <c r="X1500" s="12"/>
      <c r="AM1500" s="12"/>
    </row>
    <row r="1501" spans="9:39" x14ac:dyDescent="0.3">
      <c r="I1501" s="12"/>
      <c r="N1501" s="12"/>
      <c r="S1501" s="12"/>
      <c r="X1501" s="12"/>
      <c r="AM1501" s="12"/>
    </row>
    <row r="1502" spans="9:39" x14ac:dyDescent="0.3">
      <c r="I1502" s="12"/>
      <c r="N1502" s="12"/>
      <c r="S1502" s="12"/>
      <c r="X1502" s="12"/>
      <c r="AM1502" s="12"/>
    </row>
    <row r="1503" spans="9:39" x14ac:dyDescent="0.3">
      <c r="I1503" s="12"/>
      <c r="N1503" s="12"/>
      <c r="S1503" s="12"/>
      <c r="X1503" s="12"/>
      <c r="AM1503" s="12"/>
    </row>
    <row r="1504" spans="9:39" x14ac:dyDescent="0.3">
      <c r="I1504" s="12"/>
      <c r="N1504" s="12"/>
      <c r="S1504" s="12"/>
      <c r="X1504" s="12"/>
      <c r="AM1504" s="12"/>
    </row>
    <row r="1505" spans="9:39" x14ac:dyDescent="0.3">
      <c r="I1505" s="12"/>
      <c r="N1505" s="12"/>
      <c r="S1505" s="12"/>
      <c r="X1505" s="12"/>
      <c r="AM1505" s="12"/>
    </row>
    <row r="1506" spans="9:39" x14ac:dyDescent="0.3">
      <c r="I1506" s="12"/>
      <c r="N1506" s="12"/>
      <c r="S1506" s="12"/>
      <c r="X1506" s="12"/>
      <c r="AM1506" s="12"/>
    </row>
    <row r="1507" spans="9:39" x14ac:dyDescent="0.3">
      <c r="I1507" s="12"/>
      <c r="N1507" s="12"/>
      <c r="S1507" s="12"/>
      <c r="X1507" s="12"/>
      <c r="AM1507" s="12"/>
    </row>
    <row r="1508" spans="9:39" x14ac:dyDescent="0.3">
      <c r="I1508" s="12"/>
      <c r="N1508" s="12"/>
      <c r="S1508" s="12"/>
      <c r="X1508" s="12"/>
      <c r="AM1508" s="12"/>
    </row>
    <row r="1509" spans="9:39" x14ac:dyDescent="0.3">
      <c r="I1509" s="12"/>
      <c r="N1509" s="12"/>
      <c r="S1509" s="12"/>
      <c r="X1509" s="12"/>
      <c r="AM1509" s="12"/>
    </row>
    <row r="1510" spans="9:39" x14ac:dyDescent="0.3">
      <c r="I1510" s="12"/>
      <c r="N1510" s="12"/>
      <c r="S1510" s="12"/>
      <c r="X1510" s="12"/>
      <c r="AM1510" s="12"/>
    </row>
    <row r="1511" spans="9:39" x14ac:dyDescent="0.3">
      <c r="I1511" s="12"/>
      <c r="N1511" s="12"/>
      <c r="S1511" s="12"/>
      <c r="X1511" s="12"/>
      <c r="AM1511" s="12"/>
    </row>
    <row r="1512" spans="9:39" x14ac:dyDescent="0.3">
      <c r="I1512" s="12"/>
      <c r="N1512" s="12"/>
      <c r="S1512" s="12"/>
      <c r="X1512" s="12"/>
      <c r="AM1512" s="12"/>
    </row>
    <row r="1513" spans="9:39" x14ac:dyDescent="0.3">
      <c r="I1513" s="12"/>
      <c r="N1513" s="12"/>
      <c r="S1513" s="12"/>
      <c r="X1513" s="12"/>
      <c r="AM1513" s="12"/>
    </row>
    <row r="1514" spans="9:39" x14ac:dyDescent="0.3">
      <c r="I1514" s="12"/>
      <c r="N1514" s="12"/>
      <c r="S1514" s="12"/>
      <c r="X1514" s="12"/>
      <c r="AM1514" s="12"/>
    </row>
    <row r="1515" spans="9:39" x14ac:dyDescent="0.3">
      <c r="I1515" s="12"/>
      <c r="N1515" s="12"/>
      <c r="S1515" s="12"/>
      <c r="X1515" s="12"/>
      <c r="AM1515" s="12"/>
    </row>
    <row r="1516" spans="9:39" x14ac:dyDescent="0.3">
      <c r="I1516" s="12"/>
      <c r="N1516" s="12"/>
      <c r="S1516" s="12"/>
      <c r="X1516" s="12"/>
      <c r="AM1516" s="12"/>
    </row>
    <row r="1517" spans="9:39" x14ac:dyDescent="0.3">
      <c r="I1517" s="12"/>
      <c r="N1517" s="12"/>
      <c r="S1517" s="12"/>
      <c r="X1517" s="12"/>
      <c r="AM1517" s="12"/>
    </row>
    <row r="1518" spans="9:39" x14ac:dyDescent="0.3">
      <c r="I1518" s="12"/>
      <c r="N1518" s="12"/>
      <c r="S1518" s="12"/>
      <c r="X1518" s="12"/>
      <c r="AM1518" s="12"/>
    </row>
    <row r="1519" spans="9:39" x14ac:dyDescent="0.3">
      <c r="I1519" s="12"/>
      <c r="N1519" s="12"/>
      <c r="S1519" s="12"/>
      <c r="X1519" s="12"/>
      <c r="AM1519" s="12"/>
    </row>
    <row r="1520" spans="9:39" x14ac:dyDescent="0.3">
      <c r="I1520" s="12"/>
      <c r="N1520" s="12"/>
      <c r="S1520" s="12"/>
      <c r="X1520" s="12"/>
      <c r="AM1520" s="12"/>
    </row>
    <row r="1521" spans="9:39" x14ac:dyDescent="0.3">
      <c r="I1521" s="12"/>
      <c r="N1521" s="12"/>
      <c r="S1521" s="12"/>
      <c r="X1521" s="12"/>
      <c r="AM1521" s="12"/>
    </row>
    <row r="1522" spans="9:39" x14ac:dyDescent="0.3">
      <c r="I1522" s="12"/>
      <c r="N1522" s="12"/>
      <c r="S1522" s="12"/>
      <c r="X1522" s="12"/>
      <c r="AM1522" s="12"/>
    </row>
    <row r="1523" spans="9:39" x14ac:dyDescent="0.3">
      <c r="I1523" s="12"/>
      <c r="N1523" s="12"/>
      <c r="S1523" s="12"/>
      <c r="X1523" s="12"/>
      <c r="AM1523" s="12"/>
    </row>
    <row r="1524" spans="9:39" x14ac:dyDescent="0.3">
      <c r="I1524" s="12"/>
      <c r="N1524" s="12"/>
      <c r="S1524" s="12"/>
      <c r="X1524" s="12"/>
      <c r="AM1524" s="12"/>
    </row>
    <row r="1525" spans="9:39" x14ac:dyDescent="0.3">
      <c r="I1525" s="12"/>
      <c r="N1525" s="12"/>
      <c r="S1525" s="12"/>
      <c r="X1525" s="12"/>
      <c r="AM1525" s="12"/>
    </row>
    <row r="1526" spans="9:39" x14ac:dyDescent="0.3">
      <c r="I1526" s="12"/>
      <c r="N1526" s="12"/>
      <c r="S1526" s="12"/>
      <c r="X1526" s="12"/>
      <c r="AM1526" s="12"/>
    </row>
    <row r="1527" spans="9:39" x14ac:dyDescent="0.3">
      <c r="I1527" s="12"/>
      <c r="N1527" s="12"/>
      <c r="S1527" s="12"/>
      <c r="X1527" s="12"/>
      <c r="AM1527" s="12"/>
    </row>
    <row r="1528" spans="9:39" x14ac:dyDescent="0.3">
      <c r="I1528" s="12"/>
      <c r="N1528" s="12"/>
      <c r="S1528" s="12"/>
      <c r="X1528" s="12"/>
      <c r="AM1528" s="12"/>
    </row>
    <row r="1529" spans="9:39" x14ac:dyDescent="0.3">
      <c r="I1529" s="12"/>
      <c r="N1529" s="12"/>
      <c r="S1529" s="12"/>
      <c r="X1529" s="12"/>
      <c r="AM1529" s="12"/>
    </row>
    <row r="1530" spans="9:39" x14ac:dyDescent="0.3">
      <c r="I1530" s="12"/>
      <c r="N1530" s="12"/>
      <c r="S1530" s="12"/>
      <c r="X1530" s="12"/>
      <c r="AM1530" s="12"/>
    </row>
    <row r="1531" spans="9:39" x14ac:dyDescent="0.3">
      <c r="I1531" s="12"/>
      <c r="N1531" s="12"/>
      <c r="S1531" s="12"/>
      <c r="X1531" s="12"/>
      <c r="AM1531" s="12"/>
    </row>
    <row r="1532" spans="9:39" x14ac:dyDescent="0.3">
      <c r="I1532" s="12"/>
      <c r="N1532" s="12"/>
      <c r="S1532" s="12"/>
      <c r="X1532" s="12"/>
      <c r="AM1532" s="12"/>
    </row>
    <row r="1533" spans="9:39" x14ac:dyDescent="0.3">
      <c r="I1533" s="12"/>
      <c r="N1533" s="12"/>
      <c r="S1533" s="12"/>
      <c r="X1533" s="12"/>
      <c r="AM1533" s="12"/>
    </row>
    <row r="1534" spans="9:39" x14ac:dyDescent="0.3">
      <c r="I1534" s="12"/>
      <c r="N1534" s="12"/>
      <c r="S1534" s="12"/>
      <c r="X1534" s="12"/>
      <c r="AM1534" s="12"/>
    </row>
    <row r="1535" spans="9:39" x14ac:dyDescent="0.3">
      <c r="I1535" s="12"/>
      <c r="N1535" s="12"/>
      <c r="S1535" s="12"/>
      <c r="X1535" s="12"/>
      <c r="AM1535" s="12"/>
    </row>
    <row r="1536" spans="9:39" x14ac:dyDescent="0.3">
      <c r="I1536" s="12"/>
      <c r="N1536" s="12"/>
      <c r="S1536" s="12"/>
      <c r="X1536" s="12"/>
      <c r="AM1536" s="12"/>
    </row>
    <row r="1537" spans="9:39" x14ac:dyDescent="0.3">
      <c r="I1537" s="12"/>
      <c r="N1537" s="12"/>
      <c r="S1537" s="12"/>
      <c r="X1537" s="12"/>
      <c r="AM1537" s="12"/>
    </row>
    <row r="1538" spans="9:39" x14ac:dyDescent="0.3">
      <c r="I1538" s="12"/>
      <c r="N1538" s="12"/>
      <c r="S1538" s="12"/>
      <c r="X1538" s="12"/>
      <c r="AM1538" s="12"/>
    </row>
    <row r="1539" spans="9:39" x14ac:dyDescent="0.3">
      <c r="I1539" s="12"/>
      <c r="N1539" s="12"/>
      <c r="S1539" s="12"/>
      <c r="X1539" s="12"/>
      <c r="AM1539" s="12"/>
    </row>
    <row r="1540" spans="9:39" x14ac:dyDescent="0.3">
      <c r="I1540" s="12"/>
      <c r="N1540" s="12"/>
      <c r="S1540" s="12"/>
      <c r="X1540" s="12"/>
      <c r="AM1540" s="12"/>
    </row>
    <row r="1541" spans="9:39" x14ac:dyDescent="0.3">
      <c r="I1541" s="12"/>
      <c r="N1541" s="12"/>
      <c r="S1541" s="12"/>
      <c r="X1541" s="12"/>
      <c r="AM1541" s="12"/>
    </row>
    <row r="1542" spans="9:39" x14ac:dyDescent="0.3">
      <c r="I1542" s="12"/>
      <c r="N1542" s="12"/>
      <c r="S1542" s="12"/>
      <c r="X1542" s="12"/>
      <c r="AM1542" s="12"/>
    </row>
    <row r="1543" spans="9:39" x14ac:dyDescent="0.3">
      <c r="I1543" s="12"/>
      <c r="N1543" s="12"/>
      <c r="S1543" s="12"/>
      <c r="X1543" s="12"/>
      <c r="AM1543" s="12"/>
    </row>
    <row r="1544" spans="9:39" x14ac:dyDescent="0.3">
      <c r="I1544" s="12"/>
      <c r="N1544" s="12"/>
      <c r="S1544" s="12"/>
      <c r="X1544" s="12"/>
      <c r="AM1544" s="12"/>
    </row>
    <row r="1545" spans="9:39" x14ac:dyDescent="0.3">
      <c r="I1545" s="12"/>
      <c r="N1545" s="12"/>
      <c r="S1545" s="12"/>
      <c r="X1545" s="12"/>
      <c r="AM1545" s="12"/>
    </row>
    <row r="1546" spans="9:39" x14ac:dyDescent="0.3">
      <c r="I1546" s="12"/>
      <c r="N1546" s="12"/>
      <c r="S1546" s="12"/>
      <c r="X1546" s="12"/>
      <c r="AM1546" s="12"/>
    </row>
    <row r="1547" spans="9:39" x14ac:dyDescent="0.3">
      <c r="I1547" s="12"/>
      <c r="N1547" s="12"/>
      <c r="S1547" s="12"/>
      <c r="X1547" s="12"/>
      <c r="AM1547" s="12"/>
    </row>
    <row r="1548" spans="9:39" x14ac:dyDescent="0.3">
      <c r="I1548" s="12"/>
      <c r="N1548" s="12"/>
      <c r="S1548" s="12"/>
      <c r="X1548" s="12"/>
      <c r="AM1548" s="12"/>
    </row>
    <row r="1549" spans="9:39" x14ac:dyDescent="0.3">
      <c r="I1549" s="12"/>
      <c r="N1549" s="12"/>
      <c r="S1549" s="12"/>
      <c r="X1549" s="12"/>
      <c r="AM1549" s="12"/>
    </row>
    <row r="1550" spans="9:39" x14ac:dyDescent="0.3">
      <c r="I1550" s="12"/>
      <c r="N1550" s="12"/>
      <c r="S1550" s="12"/>
      <c r="X1550" s="12"/>
      <c r="AM1550" s="12"/>
    </row>
    <row r="1551" spans="9:39" x14ac:dyDescent="0.3">
      <c r="I1551" s="12"/>
      <c r="N1551" s="12"/>
      <c r="S1551" s="12"/>
      <c r="X1551" s="12"/>
      <c r="AM1551" s="12"/>
    </row>
    <row r="1552" spans="9:39" x14ac:dyDescent="0.3">
      <c r="I1552" s="12"/>
      <c r="N1552" s="12"/>
      <c r="S1552" s="12"/>
      <c r="X1552" s="12"/>
      <c r="AM1552" s="12"/>
    </row>
    <row r="1553" spans="9:39" x14ac:dyDescent="0.3">
      <c r="I1553" s="12"/>
      <c r="N1553" s="12"/>
      <c r="S1553" s="12"/>
      <c r="X1553" s="12"/>
      <c r="AM1553" s="12"/>
    </row>
    <row r="1554" spans="9:39" x14ac:dyDescent="0.3">
      <c r="I1554" s="12"/>
      <c r="N1554" s="12"/>
      <c r="S1554" s="12"/>
      <c r="X1554" s="12"/>
      <c r="AM1554" s="12"/>
    </row>
    <row r="1555" spans="9:39" x14ac:dyDescent="0.3">
      <c r="I1555" s="12"/>
      <c r="N1555" s="12"/>
      <c r="S1555" s="12"/>
      <c r="X1555" s="12"/>
      <c r="AM1555" s="12"/>
    </row>
    <row r="1556" spans="9:39" x14ac:dyDescent="0.3">
      <c r="I1556" s="12"/>
      <c r="N1556" s="12"/>
      <c r="S1556" s="12"/>
      <c r="X1556" s="12"/>
      <c r="AM1556" s="12"/>
    </row>
    <row r="1557" spans="9:39" x14ac:dyDescent="0.3">
      <c r="I1557" s="12"/>
      <c r="N1557" s="12"/>
      <c r="S1557" s="12"/>
      <c r="X1557" s="12"/>
      <c r="AM1557" s="12"/>
    </row>
    <row r="1558" spans="9:39" x14ac:dyDescent="0.3">
      <c r="I1558" s="12"/>
      <c r="N1558" s="12"/>
      <c r="S1558" s="12"/>
      <c r="X1558" s="12"/>
      <c r="AM1558" s="12"/>
    </row>
    <row r="1559" spans="9:39" x14ac:dyDescent="0.3">
      <c r="I1559" s="12"/>
      <c r="N1559" s="12"/>
      <c r="S1559" s="12"/>
      <c r="X1559" s="12"/>
      <c r="AM1559" s="12"/>
    </row>
    <row r="1560" spans="9:39" x14ac:dyDescent="0.3">
      <c r="I1560" s="12"/>
      <c r="N1560" s="12"/>
      <c r="S1560" s="12"/>
      <c r="X1560" s="12"/>
      <c r="AM1560" s="12"/>
    </row>
    <row r="1561" spans="9:39" x14ac:dyDescent="0.3">
      <c r="I1561" s="12"/>
      <c r="N1561" s="12"/>
      <c r="S1561" s="12"/>
      <c r="X1561" s="12"/>
      <c r="AM1561" s="12"/>
    </row>
    <row r="1562" spans="9:39" x14ac:dyDescent="0.3">
      <c r="I1562" s="12"/>
      <c r="N1562" s="12"/>
      <c r="S1562" s="12"/>
      <c r="X1562" s="12"/>
      <c r="AM1562" s="12"/>
    </row>
    <row r="1563" spans="9:39" x14ac:dyDescent="0.3">
      <c r="I1563" s="12"/>
      <c r="N1563" s="12"/>
      <c r="S1563" s="12"/>
      <c r="X1563" s="12"/>
      <c r="AM1563" s="12"/>
    </row>
    <row r="1564" spans="9:39" x14ac:dyDescent="0.3">
      <c r="I1564" s="12"/>
      <c r="N1564" s="12"/>
      <c r="S1564" s="12"/>
      <c r="X1564" s="12"/>
      <c r="AM1564" s="12"/>
    </row>
    <row r="1565" spans="9:39" x14ac:dyDescent="0.3">
      <c r="I1565" s="12"/>
      <c r="N1565" s="12"/>
      <c r="S1565" s="12"/>
      <c r="X1565" s="12"/>
      <c r="AM1565" s="12"/>
    </row>
    <row r="1566" spans="9:39" x14ac:dyDescent="0.3">
      <c r="I1566" s="12"/>
      <c r="N1566" s="12"/>
      <c r="S1566" s="12"/>
      <c r="X1566" s="12"/>
      <c r="AM1566" s="12"/>
    </row>
    <row r="1567" spans="9:39" x14ac:dyDescent="0.3">
      <c r="I1567" s="12"/>
      <c r="N1567" s="12"/>
      <c r="S1567" s="12"/>
      <c r="X1567" s="12"/>
      <c r="AM1567" s="12"/>
    </row>
    <row r="1568" spans="9:39" x14ac:dyDescent="0.3">
      <c r="I1568" s="12"/>
      <c r="N1568" s="12"/>
      <c r="S1568" s="12"/>
      <c r="X1568" s="12"/>
      <c r="AM1568" s="12"/>
    </row>
    <row r="1569" spans="9:39" x14ac:dyDescent="0.3">
      <c r="I1569" s="12"/>
      <c r="N1569" s="12"/>
      <c r="S1569" s="12"/>
      <c r="X1569" s="12"/>
      <c r="AM1569" s="12"/>
    </row>
    <row r="1570" spans="9:39" x14ac:dyDescent="0.3">
      <c r="I1570" s="12"/>
      <c r="N1570" s="12"/>
      <c r="S1570" s="12"/>
      <c r="X1570" s="12"/>
      <c r="AM1570" s="12"/>
    </row>
    <row r="1571" spans="9:39" x14ac:dyDescent="0.3">
      <c r="I1571" s="12"/>
      <c r="N1571" s="12"/>
      <c r="S1571" s="12"/>
      <c r="X1571" s="12"/>
      <c r="AM1571" s="12"/>
    </row>
    <row r="1572" spans="9:39" x14ac:dyDescent="0.3">
      <c r="I1572" s="12"/>
      <c r="N1572" s="12"/>
      <c r="S1572" s="12"/>
      <c r="X1572" s="12"/>
      <c r="AM1572" s="12"/>
    </row>
    <row r="1573" spans="9:39" x14ac:dyDescent="0.3">
      <c r="I1573" s="12"/>
      <c r="N1573" s="12"/>
      <c r="S1573" s="12"/>
      <c r="X1573" s="12"/>
      <c r="AM1573" s="12"/>
    </row>
    <row r="1574" spans="9:39" x14ac:dyDescent="0.3">
      <c r="I1574" s="12"/>
      <c r="N1574" s="12"/>
      <c r="S1574" s="12"/>
      <c r="X1574" s="12"/>
      <c r="AM1574" s="12"/>
    </row>
    <row r="1575" spans="9:39" x14ac:dyDescent="0.3">
      <c r="I1575" s="12"/>
      <c r="N1575" s="12"/>
      <c r="S1575" s="12"/>
      <c r="X1575" s="12"/>
      <c r="AM1575" s="12"/>
    </row>
    <row r="1576" spans="9:39" x14ac:dyDescent="0.3">
      <c r="I1576" s="12"/>
      <c r="N1576" s="12"/>
      <c r="S1576" s="12"/>
      <c r="X1576" s="12"/>
      <c r="AM1576" s="12"/>
    </row>
    <row r="1577" spans="9:39" x14ac:dyDescent="0.3">
      <c r="I1577" s="12"/>
      <c r="N1577" s="12"/>
      <c r="S1577" s="12"/>
      <c r="X1577" s="12"/>
      <c r="AM1577" s="12"/>
    </row>
    <row r="1578" spans="9:39" x14ac:dyDescent="0.3">
      <c r="I1578" s="12"/>
      <c r="N1578" s="12"/>
      <c r="S1578" s="12"/>
      <c r="X1578" s="12"/>
      <c r="AM1578" s="12"/>
    </row>
    <row r="1579" spans="9:39" x14ac:dyDescent="0.3">
      <c r="I1579" s="12"/>
      <c r="N1579" s="12"/>
      <c r="S1579" s="12"/>
      <c r="X1579" s="12"/>
      <c r="AM1579" s="12"/>
    </row>
    <row r="1580" spans="9:39" x14ac:dyDescent="0.3">
      <c r="I1580" s="12"/>
      <c r="N1580" s="12"/>
      <c r="S1580" s="12"/>
      <c r="X1580" s="12"/>
      <c r="AM1580" s="12"/>
    </row>
    <row r="1581" spans="9:39" x14ac:dyDescent="0.3">
      <c r="I1581" s="12"/>
      <c r="N1581" s="12"/>
      <c r="S1581" s="12"/>
      <c r="X1581" s="12"/>
      <c r="AM1581" s="12"/>
    </row>
    <row r="1582" spans="9:39" x14ac:dyDescent="0.3">
      <c r="I1582" s="12"/>
      <c r="N1582" s="12"/>
      <c r="S1582" s="12"/>
      <c r="X1582" s="12"/>
      <c r="AM1582" s="12"/>
    </row>
    <row r="1583" spans="9:39" x14ac:dyDescent="0.3">
      <c r="I1583" s="12"/>
      <c r="N1583" s="12"/>
      <c r="S1583" s="12"/>
      <c r="X1583" s="12"/>
      <c r="AM1583" s="12"/>
    </row>
    <row r="1584" spans="9:39" x14ac:dyDescent="0.3">
      <c r="I1584" s="12"/>
      <c r="N1584" s="12"/>
      <c r="S1584" s="12"/>
      <c r="X1584" s="12"/>
      <c r="AM1584" s="12"/>
    </row>
    <row r="1585" spans="9:39" x14ac:dyDescent="0.3">
      <c r="I1585" s="12"/>
      <c r="N1585" s="12"/>
      <c r="S1585" s="12"/>
      <c r="X1585" s="12"/>
      <c r="AM1585" s="12"/>
    </row>
    <row r="1586" spans="9:39" x14ac:dyDescent="0.3">
      <c r="I1586" s="12"/>
      <c r="N1586" s="12"/>
      <c r="S1586" s="12"/>
      <c r="X1586" s="12"/>
      <c r="AM1586" s="12"/>
    </row>
    <row r="1587" spans="9:39" x14ac:dyDescent="0.3">
      <c r="I1587" s="12"/>
      <c r="N1587" s="12"/>
      <c r="S1587" s="12"/>
      <c r="X1587" s="12"/>
      <c r="AM1587" s="12"/>
    </row>
    <row r="1588" spans="9:39" x14ac:dyDescent="0.3">
      <c r="I1588" s="12"/>
      <c r="N1588" s="12"/>
      <c r="S1588" s="12"/>
      <c r="X1588" s="12"/>
      <c r="AM1588" s="12"/>
    </row>
    <row r="1589" spans="9:39" x14ac:dyDescent="0.3">
      <c r="I1589" s="12"/>
      <c r="N1589" s="12"/>
      <c r="S1589" s="12"/>
      <c r="X1589" s="12"/>
      <c r="AM1589" s="12"/>
    </row>
    <row r="1590" spans="9:39" x14ac:dyDescent="0.3">
      <c r="I1590" s="12"/>
      <c r="N1590" s="12"/>
      <c r="S1590" s="12"/>
      <c r="X1590" s="12"/>
      <c r="AM1590" s="12"/>
    </row>
    <row r="1591" spans="9:39" x14ac:dyDescent="0.3">
      <c r="I1591" s="12"/>
      <c r="N1591" s="12"/>
      <c r="S1591" s="12"/>
      <c r="X1591" s="12"/>
      <c r="AM1591" s="12"/>
    </row>
    <row r="1592" spans="9:39" x14ac:dyDescent="0.3">
      <c r="I1592" s="12"/>
      <c r="N1592" s="12"/>
      <c r="S1592" s="12"/>
      <c r="X1592" s="12"/>
      <c r="AM1592" s="12"/>
    </row>
    <row r="1593" spans="9:39" x14ac:dyDescent="0.3">
      <c r="I1593" s="12"/>
      <c r="N1593" s="12"/>
      <c r="S1593" s="12"/>
      <c r="X1593" s="12"/>
      <c r="AM1593" s="12"/>
    </row>
    <row r="1594" spans="9:39" x14ac:dyDescent="0.3">
      <c r="I1594" s="12"/>
      <c r="N1594" s="12"/>
      <c r="S1594" s="12"/>
      <c r="X1594" s="12"/>
      <c r="AM1594" s="12"/>
    </row>
    <row r="1595" spans="9:39" x14ac:dyDescent="0.3">
      <c r="I1595" s="12"/>
      <c r="N1595" s="12"/>
      <c r="S1595" s="12"/>
      <c r="X1595" s="12"/>
      <c r="AM1595" s="12"/>
    </row>
    <row r="1596" spans="9:39" x14ac:dyDescent="0.3">
      <c r="I1596" s="12"/>
      <c r="N1596" s="12"/>
      <c r="S1596" s="12"/>
      <c r="X1596" s="12"/>
      <c r="AM1596" s="12"/>
    </row>
    <row r="1597" spans="9:39" x14ac:dyDescent="0.3">
      <c r="I1597" s="12"/>
      <c r="N1597" s="12"/>
      <c r="S1597" s="12"/>
      <c r="X1597" s="12"/>
      <c r="AM1597" s="12"/>
    </row>
    <row r="1598" spans="9:39" x14ac:dyDescent="0.3">
      <c r="I1598" s="12"/>
      <c r="N1598" s="12"/>
      <c r="S1598" s="12"/>
      <c r="X1598" s="12"/>
      <c r="AM1598" s="12"/>
    </row>
    <row r="1599" spans="9:39" x14ac:dyDescent="0.3">
      <c r="I1599" s="12"/>
      <c r="N1599" s="12"/>
      <c r="S1599" s="12"/>
      <c r="X1599" s="12"/>
      <c r="AM1599" s="12"/>
    </row>
    <row r="1600" spans="9:39" x14ac:dyDescent="0.3">
      <c r="I1600" s="12"/>
      <c r="N1600" s="12"/>
      <c r="S1600" s="12"/>
      <c r="X1600" s="12"/>
      <c r="AM1600" s="12"/>
    </row>
    <row r="1601" spans="9:39" x14ac:dyDescent="0.3">
      <c r="I1601" s="12"/>
      <c r="N1601" s="12"/>
      <c r="S1601" s="12"/>
      <c r="X1601" s="12"/>
      <c r="AM1601" s="12"/>
    </row>
    <row r="1602" spans="9:39" x14ac:dyDescent="0.3">
      <c r="I1602" s="12"/>
      <c r="N1602" s="12"/>
      <c r="S1602" s="12"/>
      <c r="X1602" s="12"/>
      <c r="AM1602" s="12"/>
    </row>
    <row r="1603" spans="9:39" x14ac:dyDescent="0.3">
      <c r="I1603" s="12"/>
      <c r="N1603" s="12"/>
      <c r="S1603" s="12"/>
      <c r="X1603" s="12"/>
      <c r="AM1603" s="12"/>
    </row>
    <row r="1604" spans="9:39" x14ac:dyDescent="0.3">
      <c r="I1604" s="12"/>
      <c r="N1604" s="12"/>
      <c r="S1604" s="12"/>
      <c r="X1604" s="12"/>
      <c r="AM1604" s="12"/>
    </row>
    <row r="1605" spans="9:39" x14ac:dyDescent="0.3">
      <c r="I1605" s="12"/>
      <c r="N1605" s="12"/>
      <c r="S1605" s="12"/>
      <c r="X1605" s="12"/>
      <c r="AM1605" s="12"/>
    </row>
    <row r="1606" spans="9:39" x14ac:dyDescent="0.3">
      <c r="I1606" s="12"/>
      <c r="N1606" s="12"/>
      <c r="S1606" s="12"/>
      <c r="X1606" s="12"/>
      <c r="AM1606" s="12"/>
    </row>
    <row r="1607" spans="9:39" x14ac:dyDescent="0.3">
      <c r="I1607" s="12"/>
      <c r="N1607" s="12"/>
      <c r="S1607" s="12"/>
      <c r="X1607" s="12"/>
      <c r="AM1607" s="12"/>
    </row>
    <row r="1608" spans="9:39" x14ac:dyDescent="0.3">
      <c r="I1608" s="12"/>
      <c r="N1608" s="12"/>
      <c r="S1608" s="12"/>
      <c r="X1608" s="12"/>
      <c r="AM1608" s="12"/>
    </row>
    <row r="1609" spans="9:39" x14ac:dyDescent="0.3">
      <c r="I1609" s="12"/>
      <c r="N1609" s="12"/>
      <c r="S1609" s="12"/>
      <c r="X1609" s="12"/>
      <c r="AM1609" s="12"/>
    </row>
    <row r="1610" spans="9:39" x14ac:dyDescent="0.3">
      <c r="I1610" s="12"/>
      <c r="N1610" s="12"/>
      <c r="S1610" s="12"/>
      <c r="X1610" s="12"/>
      <c r="AM1610" s="12"/>
    </row>
    <row r="1611" spans="9:39" x14ac:dyDescent="0.3">
      <c r="I1611" s="12"/>
      <c r="N1611" s="12"/>
      <c r="S1611" s="12"/>
      <c r="X1611" s="12"/>
      <c r="AM1611" s="12"/>
    </row>
    <row r="1612" spans="9:39" x14ac:dyDescent="0.3">
      <c r="I1612" s="12"/>
      <c r="N1612" s="12"/>
      <c r="S1612" s="12"/>
      <c r="X1612" s="12"/>
      <c r="AM1612" s="12"/>
    </row>
    <row r="1613" spans="9:39" x14ac:dyDescent="0.3">
      <c r="I1613" s="12"/>
      <c r="N1613" s="12"/>
      <c r="S1613" s="12"/>
      <c r="X1613" s="12"/>
      <c r="AM1613" s="12"/>
    </row>
    <row r="1614" spans="9:39" x14ac:dyDescent="0.3">
      <c r="I1614" s="12"/>
      <c r="N1614" s="12"/>
      <c r="S1614" s="12"/>
      <c r="X1614" s="12"/>
      <c r="AM1614" s="12"/>
    </row>
    <row r="1615" spans="9:39" x14ac:dyDescent="0.3">
      <c r="I1615" s="12"/>
      <c r="N1615" s="12"/>
      <c r="S1615" s="12"/>
      <c r="X1615" s="12"/>
      <c r="AM1615" s="12"/>
    </row>
    <row r="1616" spans="9:39" x14ac:dyDescent="0.3">
      <c r="I1616" s="12"/>
      <c r="N1616" s="12"/>
      <c r="S1616" s="12"/>
      <c r="X1616" s="12"/>
      <c r="AM1616" s="12"/>
    </row>
    <row r="1617" spans="9:39" x14ac:dyDescent="0.3">
      <c r="I1617" s="12"/>
      <c r="N1617" s="12"/>
      <c r="S1617" s="12"/>
      <c r="X1617" s="12"/>
      <c r="AM1617" s="12"/>
    </row>
    <row r="1618" spans="9:39" x14ac:dyDescent="0.3">
      <c r="I1618" s="12"/>
      <c r="N1618" s="12"/>
      <c r="S1618" s="12"/>
      <c r="X1618" s="12"/>
      <c r="AM1618" s="12"/>
    </row>
    <row r="1619" spans="9:39" x14ac:dyDescent="0.3">
      <c r="I1619" s="12"/>
      <c r="N1619" s="12"/>
      <c r="S1619" s="12"/>
      <c r="X1619" s="12"/>
      <c r="AM1619" s="12"/>
    </row>
    <row r="1620" spans="9:39" x14ac:dyDescent="0.3">
      <c r="I1620" s="12"/>
      <c r="N1620" s="12"/>
      <c r="S1620" s="12"/>
      <c r="X1620" s="12"/>
      <c r="AM1620" s="12"/>
    </row>
    <row r="1621" spans="9:39" x14ac:dyDescent="0.3">
      <c r="I1621" s="12"/>
      <c r="N1621" s="12"/>
      <c r="S1621" s="12"/>
      <c r="X1621" s="12"/>
      <c r="AM1621" s="12"/>
    </row>
    <row r="1622" spans="9:39" x14ac:dyDescent="0.3">
      <c r="I1622" s="12"/>
      <c r="N1622" s="12"/>
      <c r="S1622" s="12"/>
      <c r="X1622" s="12"/>
      <c r="AM1622" s="12"/>
    </row>
    <row r="1623" spans="9:39" x14ac:dyDescent="0.3">
      <c r="I1623" s="12"/>
      <c r="N1623" s="12"/>
      <c r="S1623" s="12"/>
      <c r="X1623" s="12"/>
      <c r="AM1623" s="12"/>
    </row>
    <row r="1624" spans="9:39" x14ac:dyDescent="0.3">
      <c r="I1624" s="12"/>
      <c r="N1624" s="12"/>
      <c r="S1624" s="12"/>
      <c r="X1624" s="12"/>
      <c r="AM1624" s="12"/>
    </row>
    <row r="1625" spans="9:39" x14ac:dyDescent="0.3">
      <c r="I1625" s="12"/>
      <c r="N1625" s="12"/>
      <c r="S1625" s="12"/>
      <c r="X1625" s="12"/>
      <c r="AM1625" s="12"/>
    </row>
    <row r="1626" spans="9:39" x14ac:dyDescent="0.3">
      <c r="I1626" s="12"/>
      <c r="N1626" s="12"/>
      <c r="S1626" s="12"/>
      <c r="X1626" s="12"/>
      <c r="AM1626" s="12"/>
    </row>
    <row r="1627" spans="9:39" x14ac:dyDescent="0.3">
      <c r="I1627" s="12"/>
      <c r="N1627" s="12"/>
      <c r="S1627" s="12"/>
      <c r="X1627" s="12"/>
      <c r="AM1627" s="12"/>
    </row>
    <row r="1628" spans="9:39" x14ac:dyDescent="0.3">
      <c r="I1628" s="12"/>
      <c r="N1628" s="12"/>
      <c r="S1628" s="12"/>
      <c r="X1628" s="12"/>
      <c r="AM1628" s="12"/>
    </row>
    <row r="1629" spans="9:39" x14ac:dyDescent="0.3">
      <c r="I1629" s="12"/>
      <c r="N1629" s="12"/>
      <c r="S1629" s="12"/>
      <c r="X1629" s="12"/>
      <c r="AM1629" s="12"/>
    </row>
    <row r="1630" spans="9:39" x14ac:dyDescent="0.3">
      <c r="I1630" s="12"/>
      <c r="N1630" s="12"/>
      <c r="S1630" s="12"/>
      <c r="X1630" s="12"/>
      <c r="AM1630" s="12"/>
    </row>
    <row r="1631" spans="9:39" x14ac:dyDescent="0.3">
      <c r="I1631" s="12"/>
      <c r="N1631" s="12"/>
      <c r="S1631" s="12"/>
      <c r="X1631" s="12"/>
      <c r="AM1631" s="12"/>
    </row>
    <row r="1632" spans="9:39" x14ac:dyDescent="0.3">
      <c r="I1632" s="12"/>
      <c r="N1632" s="12"/>
      <c r="S1632" s="12"/>
      <c r="X1632" s="12"/>
      <c r="AM1632" s="12"/>
    </row>
    <row r="1633" spans="9:39" x14ac:dyDescent="0.3">
      <c r="I1633" s="12"/>
      <c r="N1633" s="12"/>
      <c r="S1633" s="12"/>
      <c r="X1633" s="12"/>
      <c r="AM1633" s="12"/>
    </row>
    <row r="1634" spans="9:39" x14ac:dyDescent="0.3">
      <c r="I1634" s="12"/>
      <c r="N1634" s="12"/>
      <c r="S1634" s="12"/>
      <c r="X1634" s="12"/>
      <c r="AM1634" s="12"/>
    </row>
    <row r="1635" spans="9:39" x14ac:dyDescent="0.3">
      <c r="I1635" s="12"/>
      <c r="N1635" s="12"/>
      <c r="S1635" s="12"/>
      <c r="X1635" s="12"/>
      <c r="AM1635" s="12"/>
    </row>
    <row r="1636" spans="9:39" x14ac:dyDescent="0.3">
      <c r="I1636" s="12"/>
      <c r="N1636" s="12"/>
      <c r="S1636" s="12"/>
      <c r="X1636" s="12"/>
      <c r="AM1636" s="12"/>
    </row>
    <row r="1637" spans="9:39" x14ac:dyDescent="0.3">
      <c r="I1637" s="12"/>
      <c r="N1637" s="12"/>
      <c r="S1637" s="12"/>
      <c r="X1637" s="12"/>
      <c r="AM1637" s="12"/>
    </row>
    <row r="1638" spans="9:39" x14ac:dyDescent="0.3">
      <c r="I1638" s="12"/>
      <c r="N1638" s="12"/>
      <c r="S1638" s="12"/>
      <c r="X1638" s="12"/>
      <c r="AM1638" s="12"/>
    </row>
    <row r="1639" spans="9:39" x14ac:dyDescent="0.3">
      <c r="I1639" s="12"/>
      <c r="N1639" s="12"/>
      <c r="S1639" s="12"/>
      <c r="X1639" s="12"/>
      <c r="AM1639" s="12"/>
    </row>
    <row r="1640" spans="9:39" x14ac:dyDescent="0.3">
      <c r="I1640" s="12"/>
      <c r="N1640" s="12"/>
      <c r="S1640" s="12"/>
      <c r="X1640" s="12"/>
      <c r="AM1640" s="12"/>
    </row>
    <row r="1641" spans="9:39" x14ac:dyDescent="0.3">
      <c r="I1641" s="12"/>
      <c r="N1641" s="12"/>
      <c r="S1641" s="12"/>
      <c r="X1641" s="12"/>
      <c r="AM1641" s="12"/>
    </row>
    <row r="1642" spans="9:39" x14ac:dyDescent="0.3">
      <c r="I1642" s="12"/>
      <c r="N1642" s="12"/>
      <c r="S1642" s="12"/>
      <c r="X1642" s="12"/>
      <c r="AM1642" s="12"/>
    </row>
    <row r="1643" spans="9:39" x14ac:dyDescent="0.3">
      <c r="I1643" s="12"/>
      <c r="N1643" s="12"/>
      <c r="S1643" s="12"/>
      <c r="X1643" s="12"/>
      <c r="AM1643" s="12"/>
    </row>
    <row r="1644" spans="9:39" x14ac:dyDescent="0.3">
      <c r="I1644" s="12"/>
      <c r="N1644" s="12"/>
      <c r="S1644" s="12"/>
      <c r="X1644" s="12"/>
      <c r="AM1644" s="12"/>
    </row>
    <row r="1645" spans="9:39" x14ac:dyDescent="0.3">
      <c r="I1645" s="12"/>
      <c r="N1645" s="12"/>
      <c r="S1645" s="12"/>
      <c r="X1645" s="12"/>
      <c r="AM1645" s="12"/>
    </row>
    <row r="1646" spans="9:39" x14ac:dyDescent="0.3">
      <c r="I1646" s="12"/>
      <c r="N1646" s="12"/>
      <c r="S1646" s="12"/>
      <c r="X1646" s="12"/>
      <c r="AM1646" s="12"/>
    </row>
    <row r="1647" spans="9:39" x14ac:dyDescent="0.3">
      <c r="I1647" s="12"/>
      <c r="N1647" s="12"/>
      <c r="S1647" s="12"/>
      <c r="X1647" s="12"/>
      <c r="AM1647" s="12"/>
    </row>
    <row r="1648" spans="9:39" x14ac:dyDescent="0.3">
      <c r="I1648" s="12"/>
      <c r="N1648" s="12"/>
      <c r="S1648" s="12"/>
      <c r="X1648" s="12"/>
      <c r="AM1648" s="12"/>
    </row>
    <row r="1649" spans="9:39" x14ac:dyDescent="0.3">
      <c r="I1649" s="12"/>
      <c r="N1649" s="12"/>
      <c r="S1649" s="12"/>
      <c r="X1649" s="12"/>
      <c r="AM1649" s="12"/>
    </row>
    <row r="1650" spans="9:39" x14ac:dyDescent="0.3">
      <c r="I1650" s="12"/>
      <c r="N1650" s="12"/>
      <c r="S1650" s="12"/>
      <c r="X1650" s="12"/>
      <c r="AM1650" s="12"/>
    </row>
    <row r="1651" spans="9:39" x14ac:dyDescent="0.3">
      <c r="I1651" s="12"/>
      <c r="N1651" s="12"/>
      <c r="S1651" s="12"/>
      <c r="X1651" s="12"/>
      <c r="AM1651" s="12"/>
    </row>
    <row r="1652" spans="9:39" x14ac:dyDescent="0.3">
      <c r="I1652" s="12"/>
      <c r="N1652" s="12"/>
      <c r="S1652" s="12"/>
      <c r="X1652" s="12"/>
      <c r="AM1652" s="12"/>
    </row>
    <row r="1653" spans="9:39" x14ac:dyDescent="0.3">
      <c r="I1653" s="12"/>
      <c r="N1653" s="12"/>
      <c r="S1653" s="12"/>
      <c r="X1653" s="12"/>
      <c r="AM1653" s="12"/>
    </row>
    <row r="1654" spans="9:39" x14ac:dyDescent="0.3">
      <c r="I1654" s="12"/>
      <c r="N1654" s="12"/>
      <c r="S1654" s="12"/>
      <c r="X1654" s="12"/>
      <c r="AM1654" s="12"/>
    </row>
    <row r="1655" spans="9:39" x14ac:dyDescent="0.3">
      <c r="I1655" s="12"/>
      <c r="N1655" s="12"/>
      <c r="S1655" s="12"/>
      <c r="X1655" s="12"/>
      <c r="AM1655" s="12"/>
    </row>
    <row r="1656" spans="9:39" x14ac:dyDescent="0.3">
      <c r="I1656" s="12"/>
      <c r="N1656" s="12"/>
      <c r="S1656" s="12"/>
      <c r="X1656" s="12"/>
      <c r="AM1656" s="12"/>
    </row>
    <row r="1657" spans="9:39" x14ac:dyDescent="0.3">
      <c r="I1657" s="12"/>
      <c r="N1657" s="12"/>
      <c r="S1657" s="12"/>
      <c r="X1657" s="12"/>
      <c r="AM1657" s="12"/>
    </row>
    <row r="1658" spans="9:39" x14ac:dyDescent="0.3">
      <c r="I1658" s="12"/>
      <c r="N1658" s="12"/>
      <c r="S1658" s="12"/>
      <c r="X1658" s="12"/>
      <c r="AM1658" s="12"/>
    </row>
    <row r="1659" spans="9:39" x14ac:dyDescent="0.3">
      <c r="I1659" s="12"/>
      <c r="N1659" s="12"/>
      <c r="S1659" s="12"/>
      <c r="X1659" s="12"/>
      <c r="AM1659" s="12"/>
    </row>
    <row r="1660" spans="9:39" x14ac:dyDescent="0.3">
      <c r="I1660" s="12"/>
      <c r="N1660" s="12"/>
      <c r="S1660" s="12"/>
      <c r="X1660" s="12"/>
      <c r="AM1660" s="12"/>
    </row>
    <row r="1661" spans="9:39" x14ac:dyDescent="0.3">
      <c r="I1661" s="12"/>
      <c r="N1661" s="12"/>
      <c r="S1661" s="12"/>
      <c r="X1661" s="12"/>
      <c r="AM1661" s="12"/>
    </row>
    <row r="1662" spans="9:39" x14ac:dyDescent="0.3">
      <c r="I1662" s="12"/>
      <c r="N1662" s="12"/>
      <c r="S1662" s="12"/>
      <c r="X1662" s="12"/>
      <c r="AM1662" s="12"/>
    </row>
    <row r="1663" spans="9:39" x14ac:dyDescent="0.3">
      <c r="I1663" s="12"/>
      <c r="N1663" s="12"/>
      <c r="S1663" s="12"/>
      <c r="X1663" s="12"/>
      <c r="AM1663" s="12"/>
    </row>
    <row r="1664" spans="9:39" x14ac:dyDescent="0.3">
      <c r="I1664" s="12"/>
      <c r="N1664" s="12"/>
      <c r="S1664" s="12"/>
      <c r="X1664" s="12"/>
      <c r="AM1664" s="12"/>
    </row>
    <row r="1665" spans="9:39" x14ac:dyDescent="0.3">
      <c r="I1665" s="12"/>
      <c r="N1665" s="12"/>
      <c r="S1665" s="12"/>
      <c r="X1665" s="12"/>
      <c r="AM1665" s="12"/>
    </row>
    <row r="1666" spans="9:39" x14ac:dyDescent="0.3">
      <c r="I1666" s="12"/>
      <c r="N1666" s="12"/>
      <c r="S1666" s="12"/>
      <c r="X1666" s="12"/>
      <c r="AM1666" s="12"/>
    </row>
    <row r="1667" spans="9:39" x14ac:dyDescent="0.3">
      <c r="I1667" s="12"/>
      <c r="N1667" s="12"/>
      <c r="S1667" s="12"/>
      <c r="X1667" s="12"/>
      <c r="AM1667" s="12"/>
    </row>
    <row r="1668" spans="9:39" x14ac:dyDescent="0.3">
      <c r="I1668" s="12"/>
      <c r="N1668" s="12"/>
      <c r="S1668" s="12"/>
      <c r="X1668" s="12"/>
      <c r="AM1668" s="12"/>
    </row>
    <row r="1669" spans="9:39" x14ac:dyDescent="0.3">
      <c r="I1669" s="12"/>
      <c r="N1669" s="12"/>
      <c r="S1669" s="12"/>
      <c r="X1669" s="12"/>
      <c r="AM1669" s="12"/>
    </row>
    <row r="1670" spans="9:39" x14ac:dyDescent="0.3">
      <c r="I1670" s="12"/>
      <c r="N1670" s="12"/>
      <c r="S1670" s="12"/>
      <c r="X1670" s="12"/>
      <c r="AM1670" s="12"/>
    </row>
    <row r="1671" spans="9:39" x14ac:dyDescent="0.3">
      <c r="I1671" s="12"/>
      <c r="N1671" s="12"/>
      <c r="S1671" s="12"/>
      <c r="X1671" s="12"/>
      <c r="AM1671" s="12"/>
    </row>
    <row r="1672" spans="9:39" x14ac:dyDescent="0.3">
      <c r="I1672" s="12"/>
      <c r="N1672" s="12"/>
      <c r="S1672" s="12"/>
      <c r="X1672" s="12"/>
      <c r="AM1672" s="12"/>
    </row>
    <row r="1673" spans="9:39" x14ac:dyDescent="0.3">
      <c r="I1673" s="12"/>
      <c r="N1673" s="12"/>
      <c r="S1673" s="12"/>
      <c r="X1673" s="12"/>
      <c r="AM1673" s="12"/>
    </row>
    <row r="1674" spans="9:39" x14ac:dyDescent="0.3">
      <c r="I1674" s="12"/>
      <c r="N1674" s="12"/>
      <c r="S1674" s="12"/>
      <c r="X1674" s="12"/>
      <c r="AM1674" s="12"/>
    </row>
    <row r="1675" spans="9:39" x14ac:dyDescent="0.3">
      <c r="I1675" s="12"/>
      <c r="N1675" s="12"/>
      <c r="S1675" s="12"/>
      <c r="X1675" s="12"/>
      <c r="AM1675" s="12"/>
    </row>
    <row r="1676" spans="9:39" x14ac:dyDescent="0.3">
      <c r="I1676" s="12"/>
      <c r="N1676" s="12"/>
      <c r="S1676" s="12"/>
      <c r="X1676" s="12"/>
      <c r="AM1676" s="12"/>
    </row>
    <row r="1677" spans="9:39" x14ac:dyDescent="0.3">
      <c r="I1677" s="12"/>
      <c r="N1677" s="12"/>
      <c r="S1677" s="12"/>
      <c r="X1677" s="12"/>
      <c r="AM1677" s="12"/>
    </row>
    <row r="1678" spans="9:39" x14ac:dyDescent="0.3">
      <c r="I1678" s="12"/>
      <c r="N1678" s="12"/>
      <c r="S1678" s="12"/>
      <c r="X1678" s="12"/>
      <c r="AM1678" s="12"/>
    </row>
    <row r="1679" spans="9:39" x14ac:dyDescent="0.3">
      <c r="I1679" s="12"/>
      <c r="N1679" s="12"/>
      <c r="S1679" s="12"/>
      <c r="X1679" s="12"/>
      <c r="AM1679" s="12"/>
    </row>
    <row r="1680" spans="9:39" x14ac:dyDescent="0.3">
      <c r="I1680" s="12"/>
      <c r="N1680" s="12"/>
      <c r="S1680" s="12"/>
      <c r="X1680" s="12"/>
      <c r="AM1680" s="12"/>
    </row>
    <row r="1681" spans="9:39" x14ac:dyDescent="0.3">
      <c r="I1681" s="12"/>
      <c r="N1681" s="12"/>
      <c r="S1681" s="12"/>
      <c r="X1681" s="12"/>
      <c r="AM1681" s="12"/>
    </row>
    <row r="1682" spans="9:39" x14ac:dyDescent="0.3">
      <c r="I1682" s="12"/>
      <c r="N1682" s="12"/>
      <c r="S1682" s="12"/>
      <c r="X1682" s="12"/>
      <c r="AM1682" s="12"/>
    </row>
    <row r="1683" spans="9:39" x14ac:dyDescent="0.3">
      <c r="I1683" s="12"/>
      <c r="N1683" s="12"/>
      <c r="S1683" s="12"/>
      <c r="X1683" s="12"/>
      <c r="AM1683" s="12"/>
    </row>
    <row r="1684" spans="9:39" x14ac:dyDescent="0.3">
      <c r="I1684" s="12"/>
      <c r="N1684" s="12"/>
      <c r="S1684" s="12"/>
      <c r="X1684" s="12"/>
      <c r="AM1684" s="12"/>
    </row>
    <row r="1685" spans="9:39" x14ac:dyDescent="0.3">
      <c r="I1685" s="12"/>
      <c r="N1685" s="12"/>
      <c r="S1685" s="12"/>
      <c r="X1685" s="12"/>
      <c r="AM1685" s="12"/>
    </row>
    <row r="1686" spans="9:39" x14ac:dyDescent="0.3">
      <c r="I1686" s="12"/>
      <c r="N1686" s="12"/>
      <c r="S1686" s="12"/>
      <c r="X1686" s="12"/>
      <c r="AM1686" s="12"/>
    </row>
    <row r="1687" spans="9:39" x14ac:dyDescent="0.3">
      <c r="I1687" s="12"/>
      <c r="N1687" s="12"/>
      <c r="S1687" s="12"/>
      <c r="X1687" s="12"/>
      <c r="AM1687" s="12"/>
    </row>
    <row r="1688" spans="9:39" x14ac:dyDescent="0.3">
      <c r="I1688" s="12"/>
      <c r="N1688" s="12"/>
      <c r="S1688" s="12"/>
      <c r="X1688" s="12"/>
      <c r="AM1688" s="12"/>
    </row>
    <row r="1689" spans="9:39" x14ac:dyDescent="0.3">
      <c r="I1689" s="12"/>
      <c r="N1689" s="12"/>
      <c r="S1689" s="12"/>
      <c r="X1689" s="12"/>
      <c r="AM1689" s="12"/>
    </row>
    <row r="1690" spans="9:39" x14ac:dyDescent="0.3">
      <c r="I1690" s="12"/>
      <c r="N1690" s="12"/>
      <c r="S1690" s="12"/>
      <c r="X1690" s="12"/>
      <c r="AM1690" s="12"/>
    </row>
    <row r="1691" spans="9:39" x14ac:dyDescent="0.3">
      <c r="I1691" s="12"/>
      <c r="N1691" s="12"/>
      <c r="S1691" s="12"/>
      <c r="X1691" s="12"/>
      <c r="AM1691" s="12"/>
    </row>
    <row r="1692" spans="9:39" x14ac:dyDescent="0.3">
      <c r="I1692" s="12"/>
      <c r="N1692" s="12"/>
      <c r="S1692" s="12"/>
      <c r="X1692" s="12"/>
      <c r="AM1692" s="12"/>
    </row>
    <row r="1693" spans="9:39" x14ac:dyDescent="0.3">
      <c r="I1693" s="12"/>
      <c r="N1693" s="12"/>
      <c r="S1693" s="12"/>
      <c r="X1693" s="12"/>
      <c r="AM1693" s="12"/>
    </row>
    <row r="1694" spans="9:39" x14ac:dyDescent="0.3">
      <c r="I1694" s="12"/>
      <c r="N1694" s="12"/>
      <c r="S1694" s="12"/>
      <c r="X1694" s="12"/>
      <c r="AM1694" s="12"/>
    </row>
    <row r="1695" spans="9:39" x14ac:dyDescent="0.3">
      <c r="I1695" s="12"/>
      <c r="N1695" s="12"/>
      <c r="S1695" s="12"/>
      <c r="X1695" s="12"/>
      <c r="AM1695" s="12"/>
    </row>
    <row r="1696" spans="9:39" x14ac:dyDescent="0.3">
      <c r="I1696" s="12"/>
      <c r="N1696" s="12"/>
      <c r="S1696" s="12"/>
      <c r="X1696" s="12"/>
      <c r="AM1696" s="12"/>
    </row>
    <row r="1697" spans="9:39" x14ac:dyDescent="0.3">
      <c r="I1697" s="12"/>
      <c r="N1697" s="12"/>
      <c r="S1697" s="12"/>
      <c r="X1697" s="12"/>
      <c r="AM1697" s="12"/>
    </row>
    <row r="1698" spans="9:39" x14ac:dyDescent="0.3">
      <c r="I1698" s="12"/>
      <c r="N1698" s="12"/>
      <c r="S1698" s="12"/>
      <c r="X1698" s="12"/>
      <c r="AM1698" s="12"/>
    </row>
    <row r="1699" spans="9:39" x14ac:dyDescent="0.3">
      <c r="I1699" s="12"/>
      <c r="N1699" s="12"/>
      <c r="S1699" s="12"/>
      <c r="X1699" s="12"/>
      <c r="AM1699" s="12"/>
    </row>
    <row r="1700" spans="9:39" x14ac:dyDescent="0.3">
      <c r="I1700" s="12"/>
      <c r="N1700" s="12"/>
      <c r="S1700" s="12"/>
      <c r="X1700" s="12"/>
      <c r="AM1700" s="12"/>
    </row>
    <row r="1701" spans="9:39" x14ac:dyDescent="0.3">
      <c r="I1701" s="12"/>
      <c r="N1701" s="12"/>
      <c r="S1701" s="12"/>
      <c r="X1701" s="12"/>
      <c r="AM1701" s="12"/>
    </row>
    <row r="1702" spans="9:39" x14ac:dyDescent="0.3">
      <c r="I1702" s="12"/>
      <c r="N1702" s="12"/>
      <c r="S1702" s="12"/>
      <c r="X1702" s="12"/>
      <c r="AM1702" s="12"/>
    </row>
    <row r="1703" spans="9:39" x14ac:dyDescent="0.3">
      <c r="I1703" s="12"/>
      <c r="N1703" s="12"/>
      <c r="S1703" s="12"/>
      <c r="X1703" s="12"/>
      <c r="AM1703" s="12"/>
    </row>
    <row r="1704" spans="9:39" x14ac:dyDescent="0.3">
      <c r="I1704" s="12"/>
      <c r="N1704" s="12"/>
      <c r="S1704" s="12"/>
      <c r="X1704" s="12"/>
      <c r="AM1704" s="12"/>
    </row>
    <row r="1705" spans="9:39" x14ac:dyDescent="0.3">
      <c r="I1705" s="12"/>
      <c r="N1705" s="12"/>
      <c r="S1705" s="12"/>
      <c r="X1705" s="12"/>
      <c r="AM1705" s="12"/>
    </row>
    <row r="1706" spans="9:39" x14ac:dyDescent="0.3">
      <c r="I1706" s="12"/>
      <c r="N1706" s="12"/>
      <c r="S1706" s="12"/>
      <c r="X1706" s="12"/>
      <c r="AM1706" s="12"/>
    </row>
    <row r="1707" spans="9:39" x14ac:dyDescent="0.3">
      <c r="I1707" s="12"/>
      <c r="N1707" s="12"/>
      <c r="S1707" s="12"/>
      <c r="X1707" s="12"/>
      <c r="AM1707" s="12"/>
    </row>
    <row r="1708" spans="9:39" x14ac:dyDescent="0.3">
      <c r="I1708" s="12"/>
      <c r="N1708" s="12"/>
      <c r="S1708" s="12"/>
      <c r="X1708" s="12"/>
      <c r="AM1708" s="12"/>
    </row>
    <row r="1709" spans="9:39" x14ac:dyDescent="0.3">
      <c r="I1709" s="12"/>
      <c r="N1709" s="12"/>
      <c r="S1709" s="12"/>
      <c r="X1709" s="12"/>
      <c r="AM1709" s="12"/>
    </row>
    <row r="1710" spans="9:39" x14ac:dyDescent="0.3">
      <c r="I1710" s="12"/>
      <c r="N1710" s="12"/>
      <c r="S1710" s="12"/>
      <c r="X1710" s="12"/>
      <c r="AM1710" s="12"/>
    </row>
    <row r="1711" spans="9:39" x14ac:dyDescent="0.3">
      <c r="I1711" s="12"/>
      <c r="N1711" s="12"/>
      <c r="S1711" s="12"/>
      <c r="X1711" s="12"/>
      <c r="AM1711" s="12"/>
    </row>
    <row r="1712" spans="9:39" x14ac:dyDescent="0.3">
      <c r="I1712" s="12"/>
      <c r="N1712" s="12"/>
      <c r="S1712" s="12"/>
      <c r="X1712" s="12"/>
      <c r="AM1712" s="12"/>
    </row>
    <row r="1713" spans="9:39" x14ac:dyDescent="0.3">
      <c r="I1713" s="12"/>
      <c r="N1713" s="12"/>
      <c r="S1713" s="12"/>
      <c r="X1713" s="12"/>
      <c r="AM1713" s="12"/>
    </row>
    <row r="1714" spans="9:39" x14ac:dyDescent="0.3">
      <c r="I1714" s="12"/>
      <c r="N1714" s="12"/>
      <c r="S1714" s="12"/>
      <c r="X1714" s="12"/>
      <c r="AM1714" s="12"/>
    </row>
    <row r="1715" spans="9:39" x14ac:dyDescent="0.3">
      <c r="I1715" s="12"/>
      <c r="N1715" s="12"/>
      <c r="S1715" s="12"/>
      <c r="X1715" s="12"/>
      <c r="AM1715" s="12"/>
    </row>
    <row r="1716" spans="9:39" x14ac:dyDescent="0.3">
      <c r="I1716" s="12"/>
      <c r="N1716" s="12"/>
      <c r="S1716" s="12"/>
      <c r="X1716" s="12"/>
      <c r="AM1716" s="12"/>
    </row>
    <row r="1717" spans="9:39" x14ac:dyDescent="0.3">
      <c r="I1717" s="12"/>
      <c r="N1717" s="12"/>
      <c r="S1717" s="12"/>
      <c r="X1717" s="12"/>
      <c r="AM1717" s="12"/>
    </row>
    <row r="1718" spans="9:39" x14ac:dyDescent="0.3">
      <c r="I1718" s="12"/>
      <c r="N1718" s="12"/>
      <c r="S1718" s="12"/>
      <c r="X1718" s="12"/>
      <c r="AM1718" s="12"/>
    </row>
    <row r="1719" spans="9:39" x14ac:dyDescent="0.3">
      <c r="I1719" s="12"/>
      <c r="N1719" s="12"/>
      <c r="S1719" s="12"/>
      <c r="X1719" s="12"/>
      <c r="AM1719" s="12"/>
    </row>
    <row r="1720" spans="9:39" x14ac:dyDescent="0.3">
      <c r="I1720" s="12"/>
      <c r="N1720" s="12"/>
      <c r="S1720" s="12"/>
      <c r="X1720" s="12"/>
      <c r="AM1720" s="12"/>
    </row>
    <row r="1721" spans="9:39" x14ac:dyDescent="0.3">
      <c r="I1721" s="12"/>
      <c r="N1721" s="12"/>
      <c r="S1721" s="12"/>
      <c r="X1721" s="12"/>
      <c r="AM1721" s="12"/>
    </row>
    <row r="1722" spans="9:39" x14ac:dyDescent="0.3">
      <c r="I1722" s="12"/>
      <c r="N1722" s="12"/>
      <c r="S1722" s="12"/>
      <c r="X1722" s="12"/>
      <c r="AM1722" s="12"/>
    </row>
    <row r="1723" spans="9:39" x14ac:dyDescent="0.3">
      <c r="I1723" s="12"/>
      <c r="N1723" s="12"/>
      <c r="S1723" s="12"/>
      <c r="X1723" s="12"/>
      <c r="AM1723" s="12"/>
    </row>
    <row r="1724" spans="9:39" x14ac:dyDescent="0.3">
      <c r="I1724" s="12"/>
      <c r="N1724" s="12"/>
      <c r="S1724" s="12"/>
      <c r="X1724" s="12"/>
      <c r="AM1724" s="12"/>
    </row>
    <row r="1725" spans="9:39" x14ac:dyDescent="0.3">
      <c r="I1725" s="12"/>
      <c r="N1725" s="12"/>
      <c r="S1725" s="12"/>
      <c r="X1725" s="12"/>
      <c r="AM1725" s="12"/>
    </row>
    <row r="1726" spans="9:39" x14ac:dyDescent="0.3">
      <c r="I1726" s="12"/>
      <c r="N1726" s="12"/>
      <c r="S1726" s="12"/>
      <c r="X1726" s="12"/>
      <c r="AM1726" s="12"/>
    </row>
    <row r="1727" spans="9:39" x14ac:dyDescent="0.3">
      <c r="I1727" s="12"/>
      <c r="N1727" s="12"/>
      <c r="S1727" s="12"/>
      <c r="X1727" s="12"/>
      <c r="AM1727" s="12"/>
    </row>
    <row r="1728" spans="9:39" x14ac:dyDescent="0.3">
      <c r="I1728" s="12"/>
      <c r="N1728" s="12"/>
      <c r="S1728" s="12"/>
      <c r="X1728" s="12"/>
      <c r="AM1728" s="12"/>
    </row>
    <row r="1729" spans="9:39" x14ac:dyDescent="0.3">
      <c r="I1729" s="12"/>
      <c r="N1729" s="12"/>
      <c r="S1729" s="12"/>
      <c r="X1729" s="12"/>
      <c r="AM1729" s="12"/>
    </row>
    <row r="1730" spans="9:39" x14ac:dyDescent="0.3">
      <c r="I1730" s="12"/>
      <c r="N1730" s="12"/>
      <c r="S1730" s="12"/>
      <c r="X1730" s="12"/>
      <c r="AM1730" s="12"/>
    </row>
    <row r="1731" spans="9:39" x14ac:dyDescent="0.3">
      <c r="I1731" s="12"/>
      <c r="N1731" s="12"/>
      <c r="S1731" s="12"/>
      <c r="X1731" s="12"/>
      <c r="AM1731" s="12"/>
    </row>
    <row r="1732" spans="9:39" x14ac:dyDescent="0.3">
      <c r="I1732" s="12"/>
      <c r="N1732" s="12"/>
      <c r="S1732" s="12"/>
      <c r="X1732" s="12"/>
      <c r="AM1732" s="12"/>
    </row>
    <row r="1733" spans="9:39" x14ac:dyDescent="0.3">
      <c r="I1733" s="12"/>
      <c r="N1733" s="12"/>
      <c r="S1733" s="12"/>
      <c r="X1733" s="12"/>
      <c r="AM1733" s="12"/>
    </row>
    <row r="1734" spans="9:39" x14ac:dyDescent="0.3">
      <c r="I1734" s="12"/>
      <c r="N1734" s="12"/>
      <c r="S1734" s="12"/>
      <c r="X1734" s="12"/>
      <c r="AM1734" s="12"/>
    </row>
    <row r="1735" spans="9:39" x14ac:dyDescent="0.3">
      <c r="I1735" s="12"/>
      <c r="N1735" s="12"/>
      <c r="S1735" s="12"/>
      <c r="X1735" s="12"/>
      <c r="AM1735" s="12"/>
    </row>
    <row r="1736" spans="9:39" x14ac:dyDescent="0.3">
      <c r="I1736" s="12"/>
      <c r="N1736" s="12"/>
      <c r="S1736" s="12"/>
      <c r="X1736" s="12"/>
      <c r="AM1736" s="12"/>
    </row>
    <row r="1737" spans="9:39" x14ac:dyDescent="0.3">
      <c r="I1737" s="12"/>
      <c r="N1737" s="12"/>
      <c r="S1737" s="12"/>
      <c r="X1737" s="12"/>
      <c r="AM1737" s="12"/>
    </row>
    <row r="1738" spans="9:39" x14ac:dyDescent="0.3">
      <c r="I1738" s="12"/>
      <c r="N1738" s="12"/>
      <c r="S1738" s="12"/>
      <c r="X1738" s="12"/>
      <c r="AM1738" s="12"/>
    </row>
    <row r="1739" spans="9:39" x14ac:dyDescent="0.3">
      <c r="I1739" s="12"/>
      <c r="N1739" s="12"/>
      <c r="S1739" s="12"/>
      <c r="X1739" s="12"/>
      <c r="AM1739" s="12"/>
    </row>
    <row r="1740" spans="9:39" x14ac:dyDescent="0.3">
      <c r="I1740" s="12"/>
      <c r="N1740" s="12"/>
      <c r="S1740" s="12"/>
      <c r="X1740" s="12"/>
      <c r="AM1740" s="12"/>
    </row>
    <row r="1741" spans="9:39" x14ac:dyDescent="0.3">
      <c r="I1741" s="12"/>
      <c r="N1741" s="12"/>
      <c r="S1741" s="12"/>
      <c r="X1741" s="12"/>
      <c r="AM1741" s="12"/>
    </row>
    <row r="1742" spans="9:39" x14ac:dyDescent="0.3">
      <c r="I1742" s="12"/>
      <c r="N1742" s="12"/>
      <c r="S1742" s="12"/>
      <c r="X1742" s="12"/>
      <c r="AM1742" s="12"/>
    </row>
    <row r="1743" spans="9:39" x14ac:dyDescent="0.3">
      <c r="I1743" s="12"/>
      <c r="N1743" s="12"/>
      <c r="S1743" s="12"/>
      <c r="X1743" s="12"/>
      <c r="AM1743" s="12"/>
    </row>
    <row r="1744" spans="9:39" x14ac:dyDescent="0.3">
      <c r="I1744" s="12"/>
      <c r="N1744" s="12"/>
      <c r="S1744" s="12"/>
      <c r="X1744" s="12"/>
      <c r="AM1744" s="12"/>
    </row>
    <row r="1745" spans="9:39" x14ac:dyDescent="0.3">
      <c r="I1745" s="12"/>
      <c r="N1745" s="12"/>
      <c r="S1745" s="12"/>
      <c r="X1745" s="12"/>
      <c r="AM1745" s="12"/>
    </row>
    <row r="1746" spans="9:39" x14ac:dyDescent="0.3">
      <c r="I1746" s="12"/>
      <c r="N1746" s="12"/>
      <c r="S1746" s="12"/>
      <c r="X1746" s="12"/>
      <c r="AM1746" s="12"/>
    </row>
    <row r="1747" spans="9:39" x14ac:dyDescent="0.3">
      <c r="I1747" s="12"/>
      <c r="N1747" s="12"/>
      <c r="S1747" s="12"/>
      <c r="X1747" s="12"/>
      <c r="AM1747" s="12"/>
    </row>
    <row r="1748" spans="9:39" x14ac:dyDescent="0.3">
      <c r="I1748" s="12"/>
      <c r="N1748" s="12"/>
      <c r="S1748" s="12"/>
      <c r="X1748" s="12"/>
      <c r="AM1748" s="12"/>
    </row>
    <row r="1749" spans="9:39" x14ac:dyDescent="0.3">
      <c r="I1749" s="12"/>
      <c r="N1749" s="12"/>
      <c r="S1749" s="12"/>
      <c r="X1749" s="12"/>
      <c r="AM1749" s="12"/>
    </row>
    <row r="1750" spans="9:39" x14ac:dyDescent="0.3">
      <c r="I1750" s="12"/>
      <c r="N1750" s="12"/>
      <c r="S1750" s="12"/>
      <c r="X1750" s="12"/>
      <c r="AM1750" s="12"/>
    </row>
    <row r="1751" spans="9:39" x14ac:dyDescent="0.3">
      <c r="I1751" s="12"/>
      <c r="N1751" s="12"/>
      <c r="S1751" s="12"/>
      <c r="X1751" s="12"/>
      <c r="AM1751" s="12"/>
    </row>
    <row r="1752" spans="9:39" x14ac:dyDescent="0.3">
      <c r="I1752" s="12"/>
      <c r="N1752" s="12"/>
      <c r="S1752" s="12"/>
      <c r="X1752" s="12"/>
      <c r="AM1752" s="12"/>
    </row>
    <row r="1753" spans="9:39" x14ac:dyDescent="0.3">
      <c r="I1753" s="12"/>
      <c r="N1753" s="12"/>
      <c r="S1753" s="12"/>
      <c r="X1753" s="12"/>
      <c r="AM1753" s="12"/>
    </row>
    <row r="1754" spans="9:39" x14ac:dyDescent="0.3">
      <c r="I1754" s="12"/>
      <c r="N1754" s="12"/>
      <c r="S1754" s="12"/>
      <c r="X1754" s="12"/>
      <c r="AM1754" s="12"/>
    </row>
    <row r="1755" spans="9:39" x14ac:dyDescent="0.3">
      <c r="I1755" s="12"/>
      <c r="N1755" s="12"/>
      <c r="S1755" s="12"/>
      <c r="X1755" s="12"/>
      <c r="AM1755" s="12"/>
    </row>
    <row r="1756" spans="9:39" x14ac:dyDescent="0.3">
      <c r="I1756" s="12"/>
      <c r="N1756" s="12"/>
      <c r="S1756" s="12"/>
      <c r="X1756" s="12"/>
      <c r="AM1756" s="12"/>
    </row>
    <row r="1757" spans="9:39" x14ac:dyDescent="0.3">
      <c r="I1757" s="12"/>
      <c r="N1757" s="12"/>
      <c r="S1757" s="12"/>
      <c r="X1757" s="12"/>
      <c r="AM1757" s="12"/>
    </row>
    <row r="1758" spans="9:39" x14ac:dyDescent="0.3">
      <c r="I1758" s="12"/>
      <c r="N1758" s="12"/>
      <c r="S1758" s="12"/>
      <c r="X1758" s="12"/>
      <c r="AM1758" s="12"/>
    </row>
    <row r="1759" spans="9:39" x14ac:dyDescent="0.3">
      <c r="I1759" s="12"/>
      <c r="N1759" s="12"/>
      <c r="S1759" s="12"/>
      <c r="X1759" s="12"/>
      <c r="AM1759" s="12"/>
    </row>
    <row r="1760" spans="9:39" x14ac:dyDescent="0.3">
      <c r="I1760" s="12"/>
      <c r="N1760" s="12"/>
      <c r="S1760" s="12"/>
      <c r="X1760" s="12"/>
      <c r="AM1760" s="12"/>
    </row>
    <row r="1761" spans="9:39" x14ac:dyDescent="0.3">
      <c r="I1761" s="12"/>
      <c r="N1761" s="12"/>
      <c r="S1761" s="12"/>
      <c r="X1761" s="12"/>
      <c r="AM1761" s="12"/>
    </row>
    <row r="1762" spans="9:39" x14ac:dyDescent="0.3">
      <c r="I1762" s="12"/>
      <c r="N1762" s="12"/>
      <c r="S1762" s="12"/>
      <c r="X1762" s="12"/>
      <c r="AM1762" s="12"/>
    </row>
    <row r="1763" spans="9:39" x14ac:dyDescent="0.3">
      <c r="I1763" s="12"/>
      <c r="N1763" s="12"/>
      <c r="S1763" s="12"/>
      <c r="X1763" s="12"/>
      <c r="AM1763" s="12"/>
    </row>
    <row r="1764" spans="9:39" x14ac:dyDescent="0.3">
      <c r="I1764" s="12"/>
      <c r="N1764" s="12"/>
      <c r="S1764" s="12"/>
      <c r="X1764" s="12"/>
      <c r="AM1764" s="12"/>
    </row>
    <row r="1765" spans="9:39" x14ac:dyDescent="0.3">
      <c r="I1765" s="12"/>
      <c r="N1765" s="12"/>
      <c r="S1765" s="12"/>
      <c r="X1765" s="12"/>
      <c r="AM1765" s="12"/>
    </row>
    <row r="1766" spans="9:39" x14ac:dyDescent="0.3">
      <c r="I1766" s="12"/>
      <c r="N1766" s="12"/>
      <c r="S1766" s="12"/>
      <c r="X1766" s="12"/>
      <c r="AM1766" s="12"/>
    </row>
    <row r="1767" spans="9:39" x14ac:dyDescent="0.3">
      <c r="I1767" s="12"/>
      <c r="N1767" s="12"/>
      <c r="S1767" s="12"/>
      <c r="X1767" s="12"/>
      <c r="AM1767" s="12"/>
    </row>
    <row r="1768" spans="9:39" x14ac:dyDescent="0.3">
      <c r="I1768" s="12"/>
      <c r="N1768" s="12"/>
      <c r="S1768" s="12"/>
      <c r="X1768" s="12"/>
      <c r="AM1768" s="12"/>
    </row>
    <row r="1769" spans="9:39" x14ac:dyDescent="0.3">
      <c r="I1769" s="12"/>
      <c r="N1769" s="12"/>
      <c r="S1769" s="12"/>
      <c r="X1769" s="12"/>
      <c r="AM1769" s="12"/>
    </row>
    <row r="1770" spans="9:39" x14ac:dyDescent="0.3">
      <c r="I1770" s="12"/>
      <c r="N1770" s="12"/>
      <c r="S1770" s="12"/>
      <c r="X1770" s="12"/>
      <c r="AM1770" s="12"/>
    </row>
    <row r="1771" spans="9:39" x14ac:dyDescent="0.3">
      <c r="I1771" s="12"/>
      <c r="N1771" s="12"/>
      <c r="S1771" s="12"/>
      <c r="X1771" s="12"/>
      <c r="AM1771" s="12"/>
    </row>
    <row r="1772" spans="9:39" x14ac:dyDescent="0.3">
      <c r="I1772" s="12"/>
      <c r="N1772" s="12"/>
      <c r="S1772" s="12"/>
      <c r="X1772" s="12"/>
      <c r="AM1772" s="12"/>
    </row>
    <row r="1773" spans="9:39" x14ac:dyDescent="0.3">
      <c r="I1773" s="12"/>
      <c r="N1773" s="12"/>
      <c r="S1773" s="12"/>
      <c r="X1773" s="12"/>
      <c r="AM1773" s="12"/>
    </row>
    <row r="1774" spans="9:39" x14ac:dyDescent="0.3">
      <c r="I1774" s="12"/>
      <c r="N1774" s="12"/>
      <c r="S1774" s="12"/>
      <c r="X1774" s="12"/>
      <c r="AM1774" s="12"/>
    </row>
    <row r="1775" spans="9:39" x14ac:dyDescent="0.3">
      <c r="I1775" s="12"/>
      <c r="N1775" s="12"/>
      <c r="S1775" s="12"/>
      <c r="X1775" s="12"/>
      <c r="AM1775" s="12"/>
    </row>
    <row r="1776" spans="9:39" x14ac:dyDescent="0.3">
      <c r="I1776" s="12"/>
      <c r="N1776" s="12"/>
      <c r="S1776" s="12"/>
      <c r="X1776" s="12"/>
      <c r="AM1776" s="12"/>
    </row>
    <row r="1777" spans="9:39" x14ac:dyDescent="0.3">
      <c r="I1777" s="12"/>
      <c r="N1777" s="12"/>
      <c r="S1777" s="12"/>
      <c r="X1777" s="12"/>
      <c r="AM1777" s="12"/>
    </row>
    <row r="1778" spans="9:39" x14ac:dyDescent="0.3">
      <c r="I1778" s="12"/>
      <c r="N1778" s="12"/>
      <c r="S1778" s="12"/>
      <c r="X1778" s="12"/>
      <c r="AM1778" s="12"/>
    </row>
    <row r="1779" spans="9:39" x14ac:dyDescent="0.3">
      <c r="I1779" s="12"/>
      <c r="N1779" s="12"/>
      <c r="S1779" s="12"/>
      <c r="X1779" s="12"/>
      <c r="AM1779" s="12"/>
    </row>
    <row r="1780" spans="9:39" x14ac:dyDescent="0.3">
      <c r="I1780" s="12"/>
      <c r="N1780" s="12"/>
      <c r="S1780" s="12"/>
      <c r="X1780" s="12"/>
      <c r="AM1780" s="12"/>
    </row>
    <row r="1781" spans="9:39" x14ac:dyDescent="0.3">
      <c r="I1781" s="12"/>
      <c r="N1781" s="12"/>
      <c r="S1781" s="12"/>
      <c r="X1781" s="12"/>
      <c r="AM1781" s="12"/>
    </row>
    <row r="1782" spans="9:39" x14ac:dyDescent="0.3">
      <c r="I1782" s="12"/>
      <c r="N1782" s="12"/>
      <c r="S1782" s="12"/>
      <c r="X1782" s="12"/>
      <c r="AM1782" s="12"/>
    </row>
    <row r="1783" spans="9:39" x14ac:dyDescent="0.3">
      <c r="I1783" s="12"/>
      <c r="N1783" s="12"/>
      <c r="S1783" s="12"/>
      <c r="X1783" s="12"/>
      <c r="AM1783" s="12"/>
    </row>
    <row r="1784" spans="9:39" x14ac:dyDescent="0.3">
      <c r="I1784" s="12"/>
      <c r="N1784" s="12"/>
      <c r="S1784" s="12"/>
      <c r="X1784" s="12"/>
      <c r="AM1784" s="12"/>
    </row>
    <row r="1785" spans="9:39" x14ac:dyDescent="0.3">
      <c r="I1785" s="12"/>
      <c r="N1785" s="12"/>
      <c r="S1785" s="12"/>
      <c r="X1785" s="12"/>
      <c r="AM1785" s="12"/>
    </row>
    <row r="1786" spans="9:39" x14ac:dyDescent="0.3">
      <c r="I1786" s="12"/>
      <c r="N1786" s="12"/>
      <c r="S1786" s="12"/>
      <c r="X1786" s="12"/>
      <c r="AM1786" s="12"/>
    </row>
    <row r="1787" spans="9:39" x14ac:dyDescent="0.3">
      <c r="I1787" s="12"/>
      <c r="N1787" s="12"/>
      <c r="S1787" s="12"/>
      <c r="X1787" s="12"/>
      <c r="AM1787" s="12"/>
    </row>
    <row r="1788" spans="9:39" x14ac:dyDescent="0.3">
      <c r="I1788" s="12"/>
      <c r="N1788" s="12"/>
      <c r="S1788" s="12"/>
      <c r="X1788" s="12"/>
      <c r="AM1788" s="12"/>
    </row>
    <row r="1789" spans="9:39" x14ac:dyDescent="0.3">
      <c r="I1789" s="12"/>
      <c r="N1789" s="12"/>
      <c r="S1789" s="12"/>
      <c r="X1789" s="12"/>
      <c r="AM1789" s="12"/>
    </row>
    <row r="1790" spans="9:39" x14ac:dyDescent="0.3">
      <c r="I1790" s="12"/>
      <c r="N1790" s="12"/>
      <c r="S1790" s="12"/>
      <c r="X1790" s="12"/>
      <c r="AM1790" s="12"/>
    </row>
    <row r="1791" spans="9:39" x14ac:dyDescent="0.3">
      <c r="I1791" s="12"/>
      <c r="N1791" s="12"/>
      <c r="S1791" s="12"/>
      <c r="X1791" s="12"/>
      <c r="AM1791" s="12"/>
    </row>
    <row r="1792" spans="9:39" x14ac:dyDescent="0.3">
      <c r="I1792" s="12"/>
      <c r="N1792" s="12"/>
      <c r="S1792" s="12"/>
      <c r="X1792" s="12"/>
      <c r="AM1792" s="12"/>
    </row>
    <row r="1793" spans="9:39" x14ac:dyDescent="0.3">
      <c r="I1793" s="12"/>
      <c r="N1793" s="12"/>
      <c r="S1793" s="12"/>
      <c r="X1793" s="12"/>
      <c r="AM1793" s="12"/>
    </row>
    <row r="1794" spans="9:39" x14ac:dyDescent="0.3">
      <c r="I1794" s="12"/>
      <c r="N1794" s="12"/>
      <c r="S1794" s="12"/>
      <c r="X1794" s="12"/>
      <c r="AM1794" s="12"/>
    </row>
    <row r="1795" spans="9:39" x14ac:dyDescent="0.3">
      <c r="I1795" s="12"/>
      <c r="N1795" s="12"/>
      <c r="S1795" s="12"/>
      <c r="X1795" s="12"/>
      <c r="AM1795" s="12"/>
    </row>
    <row r="1796" spans="9:39" x14ac:dyDescent="0.3">
      <c r="I1796" s="12"/>
      <c r="N1796" s="12"/>
      <c r="S1796" s="12"/>
      <c r="X1796" s="12"/>
      <c r="AM1796" s="12"/>
    </row>
    <row r="1797" spans="9:39" x14ac:dyDescent="0.3">
      <c r="I1797" s="12"/>
      <c r="N1797" s="12"/>
      <c r="S1797" s="12"/>
      <c r="X1797" s="12"/>
      <c r="AM1797" s="12"/>
    </row>
    <row r="1798" spans="9:39" x14ac:dyDescent="0.3">
      <c r="I1798" s="12"/>
      <c r="N1798" s="12"/>
      <c r="S1798" s="12"/>
      <c r="X1798" s="12"/>
      <c r="AM1798" s="12"/>
    </row>
    <row r="1799" spans="9:39" x14ac:dyDescent="0.3">
      <c r="I1799" s="12"/>
      <c r="N1799" s="12"/>
      <c r="S1799" s="12"/>
      <c r="X1799" s="12"/>
      <c r="AM1799" s="12"/>
    </row>
    <row r="1800" spans="9:39" x14ac:dyDescent="0.3">
      <c r="I1800" s="12"/>
      <c r="N1800" s="12"/>
      <c r="S1800" s="12"/>
      <c r="X1800" s="12"/>
      <c r="AM1800" s="12"/>
    </row>
    <row r="1801" spans="9:39" x14ac:dyDescent="0.3">
      <c r="I1801" s="12"/>
      <c r="N1801" s="12"/>
      <c r="S1801" s="12"/>
      <c r="X1801" s="12"/>
      <c r="AM1801" s="12"/>
    </row>
    <row r="1802" spans="9:39" x14ac:dyDescent="0.3">
      <c r="I1802" s="12"/>
      <c r="N1802" s="12"/>
      <c r="S1802" s="12"/>
      <c r="X1802" s="12"/>
      <c r="AM1802" s="12"/>
    </row>
    <row r="1803" spans="9:39" x14ac:dyDescent="0.3">
      <c r="I1803" s="12"/>
      <c r="N1803" s="12"/>
      <c r="S1803" s="12"/>
      <c r="X1803" s="12"/>
      <c r="AM1803" s="12"/>
    </row>
    <row r="1804" spans="9:39" x14ac:dyDescent="0.3">
      <c r="I1804" s="12"/>
      <c r="N1804" s="12"/>
      <c r="S1804" s="12"/>
      <c r="X1804" s="12"/>
      <c r="AM1804" s="12"/>
    </row>
    <row r="1805" spans="9:39" x14ac:dyDescent="0.3">
      <c r="I1805" s="12"/>
      <c r="N1805" s="12"/>
      <c r="S1805" s="12"/>
      <c r="X1805" s="12"/>
      <c r="AM1805" s="12"/>
    </row>
    <row r="1806" spans="9:39" x14ac:dyDescent="0.3">
      <c r="I1806" s="12"/>
      <c r="N1806" s="12"/>
      <c r="S1806" s="12"/>
      <c r="X1806" s="12"/>
      <c r="AM1806" s="12"/>
    </row>
    <row r="1807" spans="9:39" x14ac:dyDescent="0.3">
      <c r="I1807" s="12"/>
      <c r="N1807" s="12"/>
      <c r="S1807" s="12"/>
      <c r="X1807" s="12"/>
      <c r="AM1807" s="12"/>
    </row>
    <row r="1808" spans="9:39" x14ac:dyDescent="0.3">
      <c r="I1808" s="12"/>
      <c r="N1808" s="12"/>
      <c r="S1808" s="12"/>
      <c r="X1808" s="12"/>
      <c r="AM1808" s="12"/>
    </row>
    <row r="1809" spans="9:39" x14ac:dyDescent="0.3">
      <c r="I1809" s="12"/>
      <c r="N1809" s="12"/>
      <c r="S1809" s="12"/>
      <c r="X1809" s="12"/>
      <c r="AM1809" s="12"/>
    </row>
    <row r="1810" spans="9:39" x14ac:dyDescent="0.3">
      <c r="I1810" s="12"/>
      <c r="N1810" s="12"/>
      <c r="S1810" s="12"/>
      <c r="X1810" s="12"/>
      <c r="AM1810" s="12"/>
    </row>
    <row r="1811" spans="9:39" x14ac:dyDescent="0.3">
      <c r="I1811" s="12"/>
      <c r="N1811" s="12"/>
      <c r="S1811" s="12"/>
      <c r="X1811" s="12"/>
      <c r="AM1811" s="12"/>
    </row>
    <row r="1812" spans="9:39" x14ac:dyDescent="0.3">
      <c r="I1812" s="12"/>
      <c r="N1812" s="12"/>
      <c r="S1812" s="12"/>
      <c r="X1812" s="12"/>
      <c r="AM1812" s="12"/>
    </row>
    <row r="1813" spans="9:39" x14ac:dyDescent="0.3">
      <c r="I1813" s="12"/>
      <c r="N1813" s="12"/>
      <c r="S1813" s="12"/>
      <c r="X1813" s="12"/>
      <c r="AM1813" s="12"/>
    </row>
    <row r="1814" spans="9:39" x14ac:dyDescent="0.3">
      <c r="I1814" s="12"/>
      <c r="N1814" s="12"/>
      <c r="S1814" s="12"/>
      <c r="X1814" s="12"/>
      <c r="AM1814" s="12"/>
    </row>
    <row r="1815" spans="9:39" x14ac:dyDescent="0.3">
      <c r="I1815" s="12"/>
      <c r="N1815" s="12"/>
      <c r="S1815" s="12"/>
      <c r="X1815" s="12"/>
      <c r="AM1815" s="12"/>
    </row>
    <row r="1816" spans="9:39" x14ac:dyDescent="0.3">
      <c r="I1816" s="12"/>
      <c r="N1816" s="12"/>
      <c r="S1816" s="12"/>
      <c r="X1816" s="12"/>
      <c r="AM1816" s="12"/>
    </row>
    <row r="1817" spans="9:39" x14ac:dyDescent="0.3">
      <c r="I1817" s="12"/>
      <c r="N1817" s="12"/>
      <c r="S1817" s="12"/>
      <c r="X1817" s="12"/>
      <c r="AM1817" s="12"/>
    </row>
    <row r="1818" spans="9:39" x14ac:dyDescent="0.3">
      <c r="I1818" s="12"/>
      <c r="N1818" s="12"/>
      <c r="S1818" s="12"/>
      <c r="X1818" s="12"/>
      <c r="AM1818" s="12"/>
    </row>
    <row r="1819" spans="9:39" x14ac:dyDescent="0.3">
      <c r="I1819" s="12"/>
      <c r="N1819" s="12"/>
      <c r="S1819" s="12"/>
      <c r="X1819" s="12"/>
      <c r="AM1819" s="12"/>
    </row>
    <row r="1820" spans="9:39" x14ac:dyDescent="0.3">
      <c r="I1820" s="12"/>
      <c r="N1820" s="12"/>
      <c r="S1820" s="12"/>
      <c r="X1820" s="12"/>
      <c r="AM1820" s="12"/>
    </row>
    <row r="1821" spans="9:39" x14ac:dyDescent="0.3">
      <c r="I1821" s="12"/>
      <c r="N1821" s="12"/>
      <c r="S1821" s="12"/>
      <c r="X1821" s="12"/>
      <c r="AM1821" s="12"/>
    </row>
    <row r="1822" spans="9:39" x14ac:dyDescent="0.3">
      <c r="I1822" s="12"/>
      <c r="N1822" s="12"/>
      <c r="S1822" s="12"/>
      <c r="X1822" s="12"/>
      <c r="AM1822" s="12"/>
    </row>
    <row r="1823" spans="9:39" x14ac:dyDescent="0.3">
      <c r="I1823" s="12"/>
      <c r="N1823" s="12"/>
      <c r="S1823" s="12"/>
      <c r="X1823" s="12"/>
      <c r="AM1823" s="12"/>
    </row>
    <row r="1824" spans="9:39" x14ac:dyDescent="0.3">
      <c r="I1824" s="12"/>
      <c r="N1824" s="12"/>
      <c r="S1824" s="12"/>
      <c r="X1824" s="12"/>
      <c r="AM1824" s="12"/>
    </row>
    <row r="1825" spans="9:39" x14ac:dyDescent="0.3">
      <c r="I1825" s="12"/>
      <c r="N1825" s="12"/>
      <c r="S1825" s="12"/>
      <c r="X1825" s="12"/>
      <c r="AM1825" s="12"/>
    </row>
    <row r="1826" spans="9:39" x14ac:dyDescent="0.3">
      <c r="I1826" s="12"/>
      <c r="N1826" s="12"/>
      <c r="S1826" s="12"/>
      <c r="X1826" s="12"/>
      <c r="AM1826" s="12"/>
    </row>
    <row r="1827" spans="9:39" x14ac:dyDescent="0.3">
      <c r="I1827" s="12"/>
      <c r="N1827" s="12"/>
      <c r="S1827" s="12"/>
      <c r="X1827" s="12"/>
      <c r="AM1827" s="12"/>
    </row>
    <row r="1828" spans="9:39" x14ac:dyDescent="0.3">
      <c r="I1828" s="12"/>
      <c r="N1828" s="12"/>
      <c r="S1828" s="12"/>
      <c r="X1828" s="12"/>
      <c r="AM1828" s="12"/>
    </row>
    <row r="1829" spans="9:39" x14ac:dyDescent="0.3">
      <c r="I1829" s="12"/>
      <c r="N1829" s="12"/>
      <c r="S1829" s="12"/>
      <c r="X1829" s="12"/>
      <c r="AM1829" s="12"/>
    </row>
    <row r="1830" spans="9:39" x14ac:dyDescent="0.3">
      <c r="I1830" s="12"/>
      <c r="N1830" s="12"/>
      <c r="S1830" s="12"/>
      <c r="X1830" s="12"/>
      <c r="AM1830" s="12"/>
    </row>
    <row r="1831" spans="9:39" x14ac:dyDescent="0.3">
      <c r="I1831" s="12"/>
      <c r="N1831" s="12"/>
      <c r="S1831" s="12"/>
      <c r="X1831" s="12"/>
      <c r="AM1831" s="12"/>
    </row>
    <row r="1832" spans="9:39" x14ac:dyDescent="0.3">
      <c r="I1832" s="12"/>
      <c r="N1832" s="12"/>
      <c r="S1832" s="12"/>
      <c r="X1832" s="12"/>
      <c r="AM1832" s="12"/>
    </row>
    <row r="1833" spans="9:39" x14ac:dyDescent="0.3">
      <c r="I1833" s="12"/>
      <c r="N1833" s="12"/>
      <c r="S1833" s="12"/>
      <c r="X1833" s="12"/>
      <c r="AM1833" s="12"/>
    </row>
    <row r="1834" spans="9:39" x14ac:dyDescent="0.3">
      <c r="I1834" s="12"/>
      <c r="N1834" s="12"/>
      <c r="S1834" s="12"/>
      <c r="X1834" s="12"/>
      <c r="AM1834" s="12"/>
    </row>
    <row r="1835" spans="9:39" x14ac:dyDescent="0.3">
      <c r="I1835" s="12"/>
      <c r="N1835" s="12"/>
      <c r="S1835" s="12"/>
      <c r="X1835" s="12"/>
      <c r="AM1835" s="12"/>
    </row>
    <row r="1836" spans="9:39" x14ac:dyDescent="0.3">
      <c r="I1836" s="12"/>
      <c r="N1836" s="12"/>
      <c r="S1836" s="12"/>
      <c r="X1836" s="12"/>
      <c r="AM1836" s="12"/>
    </row>
    <row r="1837" spans="9:39" x14ac:dyDescent="0.3">
      <c r="I1837" s="12"/>
      <c r="N1837" s="12"/>
      <c r="S1837" s="12"/>
      <c r="X1837" s="12"/>
      <c r="AM1837" s="12"/>
    </row>
    <row r="1838" spans="9:39" x14ac:dyDescent="0.3">
      <c r="I1838" s="12"/>
      <c r="N1838" s="12"/>
      <c r="S1838" s="12"/>
      <c r="X1838" s="12"/>
      <c r="AM1838" s="12"/>
    </row>
    <row r="1839" spans="9:39" x14ac:dyDescent="0.3">
      <c r="I1839" s="12"/>
      <c r="N1839" s="12"/>
      <c r="S1839" s="12"/>
      <c r="X1839" s="12"/>
      <c r="AM1839" s="12"/>
    </row>
    <row r="1840" spans="9:39" x14ac:dyDescent="0.3">
      <c r="I1840" s="12"/>
      <c r="N1840" s="12"/>
      <c r="S1840" s="12"/>
      <c r="X1840" s="12"/>
      <c r="AM1840" s="12"/>
    </row>
    <row r="1841" spans="9:39" x14ac:dyDescent="0.3">
      <c r="I1841" s="12"/>
      <c r="N1841" s="12"/>
      <c r="S1841" s="12"/>
      <c r="X1841" s="12"/>
      <c r="AM1841" s="12"/>
    </row>
    <row r="1842" spans="9:39" x14ac:dyDescent="0.3">
      <c r="I1842" s="12"/>
      <c r="N1842" s="12"/>
      <c r="S1842" s="12"/>
      <c r="X1842" s="12"/>
      <c r="AM1842" s="12"/>
    </row>
    <row r="1843" spans="9:39" x14ac:dyDescent="0.3">
      <c r="I1843" s="12"/>
      <c r="N1843" s="12"/>
      <c r="S1843" s="12"/>
      <c r="X1843" s="12"/>
      <c r="AM1843" s="12"/>
    </row>
    <row r="1844" spans="9:39" x14ac:dyDescent="0.3">
      <c r="I1844" s="12"/>
      <c r="N1844" s="12"/>
      <c r="S1844" s="12"/>
      <c r="X1844" s="12"/>
      <c r="AM1844" s="12"/>
    </row>
    <row r="1845" spans="9:39" x14ac:dyDescent="0.3">
      <c r="I1845" s="12"/>
      <c r="N1845" s="12"/>
      <c r="S1845" s="12"/>
      <c r="X1845" s="12"/>
      <c r="AM1845" s="12"/>
    </row>
    <row r="1846" spans="9:39" x14ac:dyDescent="0.3">
      <c r="I1846" s="12"/>
      <c r="N1846" s="12"/>
      <c r="S1846" s="12"/>
      <c r="X1846" s="12"/>
      <c r="AM1846" s="12"/>
    </row>
    <row r="1847" spans="9:39" x14ac:dyDescent="0.3">
      <c r="I1847" s="12"/>
      <c r="N1847" s="12"/>
      <c r="S1847" s="12"/>
      <c r="X1847" s="12"/>
      <c r="AM1847" s="12"/>
    </row>
    <row r="1848" spans="9:39" x14ac:dyDescent="0.3">
      <c r="I1848" s="12"/>
      <c r="N1848" s="12"/>
      <c r="S1848" s="12"/>
      <c r="X1848" s="12"/>
      <c r="AM1848" s="12"/>
    </row>
    <row r="1849" spans="9:39" x14ac:dyDescent="0.3">
      <c r="I1849" s="12"/>
      <c r="N1849" s="12"/>
      <c r="S1849" s="12"/>
      <c r="X1849" s="12"/>
      <c r="AM1849" s="12"/>
    </row>
    <row r="1850" spans="9:39" x14ac:dyDescent="0.3">
      <c r="I1850" s="12"/>
      <c r="N1850" s="12"/>
      <c r="S1850" s="12"/>
      <c r="X1850" s="12"/>
      <c r="AM1850" s="12"/>
    </row>
    <row r="1851" spans="9:39" x14ac:dyDescent="0.3">
      <c r="I1851" s="12"/>
      <c r="N1851" s="12"/>
      <c r="S1851" s="12"/>
      <c r="X1851" s="12"/>
      <c r="AM1851" s="12"/>
    </row>
    <row r="1852" spans="9:39" x14ac:dyDescent="0.3">
      <c r="I1852" s="12"/>
      <c r="N1852" s="12"/>
      <c r="S1852" s="12"/>
      <c r="X1852" s="12"/>
      <c r="AM1852" s="12"/>
    </row>
    <row r="1853" spans="9:39" x14ac:dyDescent="0.3">
      <c r="I1853" s="12"/>
      <c r="N1853" s="12"/>
      <c r="S1853" s="12"/>
      <c r="X1853" s="12"/>
      <c r="AM1853" s="12"/>
    </row>
    <row r="1854" spans="9:39" x14ac:dyDescent="0.3">
      <c r="I1854" s="12"/>
      <c r="N1854" s="12"/>
      <c r="S1854" s="12"/>
      <c r="X1854" s="12"/>
      <c r="AM1854" s="12"/>
    </row>
    <row r="1855" spans="9:39" x14ac:dyDescent="0.3">
      <c r="I1855" s="12"/>
      <c r="N1855" s="12"/>
      <c r="S1855" s="12"/>
      <c r="X1855" s="12"/>
      <c r="AM1855" s="12"/>
    </row>
    <row r="1856" spans="9:39" x14ac:dyDescent="0.3">
      <c r="I1856" s="12"/>
      <c r="N1856" s="12"/>
      <c r="S1856" s="12"/>
      <c r="X1856" s="12"/>
      <c r="AM1856" s="12"/>
    </row>
    <row r="1857" spans="9:39" x14ac:dyDescent="0.3">
      <c r="I1857" s="12"/>
      <c r="N1857" s="12"/>
      <c r="S1857" s="12"/>
      <c r="X1857" s="12"/>
      <c r="AM1857" s="12"/>
    </row>
    <row r="1858" spans="9:39" x14ac:dyDescent="0.3">
      <c r="I1858" s="12"/>
      <c r="N1858" s="12"/>
      <c r="S1858" s="12"/>
      <c r="X1858" s="12"/>
      <c r="AM1858" s="12"/>
    </row>
    <row r="1859" spans="9:39" x14ac:dyDescent="0.3">
      <c r="I1859" s="12"/>
      <c r="N1859" s="12"/>
      <c r="S1859" s="12"/>
      <c r="X1859" s="12"/>
      <c r="AM1859" s="12"/>
    </row>
    <row r="1860" spans="9:39" x14ac:dyDescent="0.3">
      <c r="I1860" s="12"/>
      <c r="N1860" s="12"/>
      <c r="S1860" s="12"/>
      <c r="X1860" s="12"/>
      <c r="AM1860" s="12"/>
    </row>
    <row r="1861" spans="9:39" x14ac:dyDescent="0.3">
      <c r="I1861" s="12"/>
      <c r="N1861" s="12"/>
      <c r="S1861" s="12"/>
      <c r="X1861" s="12"/>
      <c r="AM1861" s="12"/>
    </row>
    <row r="1862" spans="9:39" x14ac:dyDescent="0.3">
      <c r="I1862" s="12"/>
      <c r="N1862" s="12"/>
      <c r="S1862" s="12"/>
      <c r="X1862" s="12"/>
      <c r="AM1862" s="12"/>
    </row>
    <row r="1863" spans="9:39" x14ac:dyDescent="0.3">
      <c r="I1863" s="12"/>
      <c r="N1863" s="12"/>
      <c r="S1863" s="12"/>
      <c r="X1863" s="12"/>
      <c r="AM1863" s="12"/>
    </row>
    <row r="1864" spans="9:39" x14ac:dyDescent="0.3">
      <c r="I1864" s="12"/>
      <c r="N1864" s="12"/>
      <c r="S1864" s="12"/>
      <c r="X1864" s="12"/>
      <c r="AM1864" s="12"/>
    </row>
    <row r="1865" spans="9:39" x14ac:dyDescent="0.3">
      <c r="I1865" s="12"/>
      <c r="N1865" s="12"/>
      <c r="S1865" s="12"/>
      <c r="X1865" s="12"/>
      <c r="AM1865" s="12"/>
    </row>
    <row r="1866" spans="9:39" x14ac:dyDescent="0.3">
      <c r="I1866" s="12"/>
      <c r="N1866" s="12"/>
      <c r="S1866" s="12"/>
      <c r="X1866" s="12"/>
      <c r="AM1866" s="12"/>
    </row>
    <row r="1867" spans="9:39" x14ac:dyDescent="0.3">
      <c r="I1867" s="12"/>
      <c r="N1867" s="12"/>
      <c r="S1867" s="12"/>
      <c r="X1867" s="12"/>
      <c r="AM1867" s="12"/>
    </row>
    <row r="1868" spans="9:39" x14ac:dyDescent="0.3">
      <c r="I1868" s="12"/>
      <c r="N1868" s="12"/>
      <c r="S1868" s="12"/>
      <c r="X1868" s="12"/>
      <c r="AM1868" s="12"/>
    </row>
    <row r="1869" spans="9:39" x14ac:dyDescent="0.3">
      <c r="I1869" s="12"/>
      <c r="N1869" s="12"/>
      <c r="S1869" s="12"/>
      <c r="X1869" s="12"/>
      <c r="AM1869" s="12"/>
    </row>
    <row r="1870" spans="9:39" x14ac:dyDescent="0.3">
      <c r="I1870" s="12"/>
      <c r="N1870" s="12"/>
      <c r="S1870" s="12"/>
      <c r="X1870" s="12"/>
      <c r="AM1870" s="12"/>
    </row>
    <row r="1871" spans="9:39" x14ac:dyDescent="0.3">
      <c r="I1871" s="12"/>
      <c r="N1871" s="12"/>
      <c r="S1871" s="12"/>
      <c r="X1871" s="12"/>
      <c r="AM1871" s="12"/>
    </row>
    <row r="1872" spans="9:39" x14ac:dyDescent="0.3">
      <c r="I1872" s="12"/>
      <c r="N1872" s="12"/>
      <c r="S1872" s="12"/>
      <c r="X1872" s="12"/>
      <c r="AM1872" s="12"/>
    </row>
    <row r="1873" spans="9:39" x14ac:dyDescent="0.3">
      <c r="I1873" s="12"/>
      <c r="N1873" s="12"/>
      <c r="S1873" s="12"/>
      <c r="X1873" s="12"/>
      <c r="AM1873" s="12"/>
    </row>
    <row r="1874" spans="9:39" x14ac:dyDescent="0.3">
      <c r="I1874" s="12"/>
      <c r="N1874" s="12"/>
      <c r="S1874" s="12"/>
      <c r="X1874" s="12"/>
      <c r="AM1874" s="12"/>
    </row>
    <row r="1875" spans="9:39" x14ac:dyDescent="0.3">
      <c r="I1875" s="12"/>
      <c r="N1875" s="12"/>
      <c r="S1875" s="12"/>
      <c r="X1875" s="12"/>
      <c r="AM1875" s="12"/>
    </row>
    <row r="1876" spans="9:39" x14ac:dyDescent="0.3">
      <c r="I1876" s="12"/>
      <c r="N1876" s="12"/>
      <c r="S1876" s="12"/>
      <c r="X1876" s="12"/>
      <c r="AM1876" s="12"/>
    </row>
    <row r="1877" spans="9:39" x14ac:dyDescent="0.3">
      <c r="I1877" s="12"/>
      <c r="N1877" s="12"/>
      <c r="S1877" s="12"/>
      <c r="X1877" s="12"/>
      <c r="AM1877" s="12"/>
    </row>
    <row r="1878" spans="9:39" x14ac:dyDescent="0.3">
      <c r="I1878" s="12"/>
      <c r="N1878" s="12"/>
      <c r="S1878" s="12"/>
      <c r="X1878" s="12"/>
      <c r="AM1878" s="12"/>
    </row>
    <row r="1879" spans="9:39" x14ac:dyDescent="0.3">
      <c r="I1879" s="12"/>
      <c r="N1879" s="12"/>
      <c r="S1879" s="12"/>
      <c r="X1879" s="12"/>
      <c r="AM1879" s="12"/>
    </row>
    <row r="1880" spans="9:39" x14ac:dyDescent="0.3">
      <c r="I1880" s="12"/>
      <c r="N1880" s="12"/>
      <c r="S1880" s="12"/>
      <c r="X1880" s="12"/>
      <c r="AM1880" s="12"/>
    </row>
    <row r="1881" spans="9:39" x14ac:dyDescent="0.3">
      <c r="I1881" s="12"/>
      <c r="N1881" s="12"/>
      <c r="S1881" s="12"/>
      <c r="X1881" s="12"/>
      <c r="AM1881" s="12"/>
    </row>
    <row r="1882" spans="9:39" x14ac:dyDescent="0.3">
      <c r="I1882" s="12"/>
      <c r="N1882" s="12"/>
      <c r="S1882" s="12"/>
      <c r="X1882" s="12"/>
      <c r="AM1882" s="12"/>
    </row>
    <row r="1883" spans="9:39" x14ac:dyDescent="0.3">
      <c r="I1883" s="12"/>
      <c r="N1883" s="12"/>
      <c r="S1883" s="12"/>
      <c r="X1883" s="12"/>
      <c r="AM1883" s="12"/>
    </row>
    <row r="1884" spans="9:39" x14ac:dyDescent="0.3">
      <c r="I1884" s="12"/>
      <c r="N1884" s="12"/>
      <c r="S1884" s="12"/>
      <c r="X1884" s="12"/>
      <c r="AM1884" s="12"/>
    </row>
    <row r="1885" spans="9:39" x14ac:dyDescent="0.3">
      <c r="I1885" s="12"/>
      <c r="N1885" s="12"/>
      <c r="S1885" s="12"/>
      <c r="X1885" s="12"/>
      <c r="AM1885" s="12"/>
    </row>
    <row r="1886" spans="9:39" x14ac:dyDescent="0.3">
      <c r="I1886" s="12"/>
      <c r="N1886" s="12"/>
      <c r="S1886" s="12"/>
      <c r="X1886" s="12"/>
      <c r="AM1886" s="12"/>
    </row>
    <row r="1887" spans="9:39" x14ac:dyDescent="0.3">
      <c r="I1887" s="12"/>
      <c r="N1887" s="12"/>
      <c r="S1887" s="12"/>
      <c r="X1887" s="12"/>
      <c r="AM1887" s="12"/>
    </row>
    <row r="1888" spans="9:39" x14ac:dyDescent="0.3">
      <c r="I1888" s="12"/>
      <c r="N1888" s="12"/>
      <c r="S1888" s="12"/>
      <c r="X1888" s="12"/>
      <c r="AM1888" s="12"/>
    </row>
    <row r="1889" spans="9:39" x14ac:dyDescent="0.3">
      <c r="I1889" s="12"/>
      <c r="N1889" s="12"/>
      <c r="S1889" s="12"/>
      <c r="X1889" s="12"/>
      <c r="AM1889" s="12"/>
    </row>
    <row r="1890" spans="9:39" x14ac:dyDescent="0.3">
      <c r="I1890" s="12"/>
      <c r="N1890" s="12"/>
      <c r="S1890" s="12"/>
      <c r="X1890" s="12"/>
      <c r="AM1890" s="12"/>
    </row>
    <row r="1891" spans="9:39" x14ac:dyDescent="0.3">
      <c r="I1891" s="12"/>
      <c r="N1891" s="12"/>
      <c r="S1891" s="12"/>
      <c r="X1891" s="12"/>
      <c r="AM1891" s="12"/>
    </row>
    <row r="1892" spans="9:39" x14ac:dyDescent="0.3">
      <c r="I1892" s="12"/>
      <c r="N1892" s="12"/>
      <c r="S1892" s="12"/>
      <c r="X1892" s="12"/>
      <c r="AM1892" s="12"/>
    </row>
    <row r="1893" spans="9:39" x14ac:dyDescent="0.3">
      <c r="I1893" s="12"/>
      <c r="N1893" s="12"/>
      <c r="S1893" s="12"/>
      <c r="X1893" s="12"/>
      <c r="AM1893" s="12"/>
    </row>
    <row r="1894" spans="9:39" x14ac:dyDescent="0.3">
      <c r="I1894" s="12"/>
      <c r="N1894" s="12"/>
      <c r="S1894" s="12"/>
      <c r="X1894" s="12"/>
      <c r="AM1894" s="12"/>
    </row>
    <row r="1895" spans="9:39" x14ac:dyDescent="0.3">
      <c r="I1895" s="12"/>
      <c r="N1895" s="12"/>
      <c r="S1895" s="12"/>
      <c r="X1895" s="12"/>
      <c r="AM1895" s="12"/>
    </row>
    <row r="1896" spans="9:39" x14ac:dyDescent="0.3">
      <c r="I1896" s="12"/>
      <c r="N1896" s="12"/>
      <c r="S1896" s="12"/>
      <c r="X1896" s="12"/>
      <c r="AM1896" s="12"/>
    </row>
    <row r="1897" spans="9:39" x14ac:dyDescent="0.3">
      <c r="I1897" s="12"/>
      <c r="N1897" s="12"/>
      <c r="S1897" s="12"/>
      <c r="X1897" s="12"/>
      <c r="AM1897" s="12"/>
    </row>
    <row r="1898" spans="9:39" x14ac:dyDescent="0.3">
      <c r="I1898" s="12"/>
      <c r="N1898" s="12"/>
      <c r="S1898" s="12"/>
      <c r="X1898" s="12"/>
      <c r="AM1898" s="12"/>
    </row>
    <row r="1899" spans="9:39" x14ac:dyDescent="0.3">
      <c r="I1899" s="12"/>
      <c r="N1899" s="12"/>
      <c r="S1899" s="12"/>
      <c r="X1899" s="12"/>
      <c r="AM1899" s="12"/>
    </row>
    <row r="1900" spans="9:39" x14ac:dyDescent="0.3">
      <c r="I1900" s="12"/>
      <c r="N1900" s="12"/>
      <c r="S1900" s="12"/>
      <c r="X1900" s="12"/>
      <c r="AM1900" s="12"/>
    </row>
    <row r="1901" spans="9:39" x14ac:dyDescent="0.3">
      <c r="I1901" s="12"/>
      <c r="N1901" s="12"/>
      <c r="S1901" s="12"/>
      <c r="X1901" s="12"/>
      <c r="AM1901" s="12"/>
    </row>
    <row r="1902" spans="9:39" x14ac:dyDescent="0.3">
      <c r="I1902" s="12"/>
      <c r="N1902" s="12"/>
      <c r="S1902" s="12"/>
      <c r="X1902" s="12"/>
      <c r="AM1902" s="12"/>
    </row>
    <row r="1903" spans="9:39" x14ac:dyDescent="0.3">
      <c r="I1903" s="12"/>
      <c r="N1903" s="12"/>
      <c r="S1903" s="12"/>
      <c r="X1903" s="12"/>
      <c r="AM1903" s="12"/>
    </row>
    <row r="1904" spans="9:39" x14ac:dyDescent="0.3">
      <c r="I1904" s="12"/>
      <c r="N1904" s="12"/>
      <c r="S1904" s="12"/>
      <c r="X1904" s="12"/>
      <c r="AM1904" s="12"/>
    </row>
    <row r="1905" spans="9:39" x14ac:dyDescent="0.3">
      <c r="I1905" s="12"/>
      <c r="N1905" s="12"/>
      <c r="S1905" s="12"/>
      <c r="X1905" s="12"/>
      <c r="AM1905" s="12"/>
    </row>
    <row r="1906" spans="9:39" x14ac:dyDescent="0.3">
      <c r="I1906" s="12"/>
      <c r="N1906" s="12"/>
      <c r="S1906" s="12"/>
      <c r="X1906" s="12"/>
      <c r="AM1906" s="12"/>
    </row>
    <row r="1907" spans="9:39" x14ac:dyDescent="0.3">
      <c r="I1907" s="12"/>
      <c r="N1907" s="12"/>
      <c r="S1907" s="12"/>
      <c r="X1907" s="12"/>
      <c r="AM1907" s="12"/>
    </row>
    <row r="1908" spans="9:39" x14ac:dyDescent="0.3">
      <c r="I1908" s="12"/>
      <c r="N1908" s="12"/>
      <c r="S1908" s="12"/>
      <c r="X1908" s="12"/>
      <c r="AM1908" s="12"/>
    </row>
    <row r="1909" spans="9:39" x14ac:dyDescent="0.3">
      <c r="I1909" s="12"/>
      <c r="N1909" s="12"/>
      <c r="S1909" s="12"/>
      <c r="X1909" s="12"/>
      <c r="AM1909" s="12"/>
    </row>
    <row r="1910" spans="9:39" x14ac:dyDescent="0.3">
      <c r="I1910" s="12"/>
      <c r="N1910" s="12"/>
      <c r="S1910" s="12"/>
      <c r="X1910" s="12"/>
      <c r="AM1910" s="12"/>
    </row>
    <row r="1911" spans="9:39" x14ac:dyDescent="0.3">
      <c r="I1911" s="12"/>
      <c r="N1911" s="12"/>
      <c r="S1911" s="12"/>
      <c r="X1911" s="12"/>
      <c r="AM1911" s="12"/>
    </row>
    <row r="1912" spans="9:39" x14ac:dyDescent="0.3">
      <c r="I1912" s="12"/>
      <c r="N1912" s="12"/>
      <c r="S1912" s="12"/>
      <c r="X1912" s="12"/>
      <c r="AM1912" s="12"/>
    </row>
    <row r="1913" spans="9:39" x14ac:dyDescent="0.3">
      <c r="I1913" s="12"/>
      <c r="N1913" s="12"/>
      <c r="S1913" s="12"/>
      <c r="X1913" s="12"/>
      <c r="AM1913" s="12"/>
    </row>
    <row r="1914" spans="9:39" x14ac:dyDescent="0.3">
      <c r="I1914" s="12"/>
      <c r="N1914" s="12"/>
      <c r="S1914" s="12"/>
      <c r="X1914" s="12"/>
      <c r="AM1914" s="12"/>
    </row>
    <row r="1915" spans="9:39" x14ac:dyDescent="0.3">
      <c r="I1915" s="12"/>
      <c r="N1915" s="12"/>
      <c r="S1915" s="12"/>
      <c r="X1915" s="12"/>
      <c r="AM1915" s="12"/>
    </row>
    <row r="1916" spans="9:39" x14ac:dyDescent="0.3">
      <c r="I1916" s="12"/>
      <c r="N1916" s="12"/>
      <c r="S1916" s="12"/>
      <c r="X1916" s="12"/>
      <c r="AM1916" s="12"/>
    </row>
    <row r="1917" spans="9:39" x14ac:dyDescent="0.3">
      <c r="I1917" s="12"/>
      <c r="N1917" s="12"/>
      <c r="S1917" s="12"/>
      <c r="X1917" s="12"/>
      <c r="AM1917" s="12"/>
    </row>
    <row r="1918" spans="9:39" x14ac:dyDescent="0.3">
      <c r="I1918" s="12"/>
      <c r="N1918" s="12"/>
      <c r="S1918" s="12"/>
      <c r="X1918" s="12"/>
      <c r="AM1918" s="12"/>
    </row>
    <row r="1919" spans="9:39" x14ac:dyDescent="0.3">
      <c r="I1919" s="12"/>
      <c r="N1919" s="12"/>
      <c r="S1919" s="12"/>
      <c r="X1919" s="12"/>
      <c r="AM1919" s="12"/>
    </row>
    <row r="1920" spans="9:39" x14ac:dyDescent="0.3">
      <c r="I1920" s="12"/>
      <c r="N1920" s="12"/>
      <c r="S1920" s="12"/>
      <c r="X1920" s="12"/>
      <c r="AM1920" s="12"/>
    </row>
    <row r="1921" spans="9:39" x14ac:dyDescent="0.3">
      <c r="I1921" s="12"/>
      <c r="N1921" s="12"/>
      <c r="S1921" s="12"/>
      <c r="X1921" s="12"/>
      <c r="AM1921" s="12"/>
    </row>
    <row r="1922" spans="9:39" x14ac:dyDescent="0.3">
      <c r="I1922" s="12"/>
      <c r="N1922" s="12"/>
      <c r="S1922" s="12"/>
      <c r="X1922" s="12"/>
      <c r="AM1922" s="12"/>
    </row>
    <row r="1923" spans="9:39" x14ac:dyDescent="0.3">
      <c r="I1923" s="12"/>
      <c r="N1923" s="12"/>
      <c r="S1923" s="12"/>
      <c r="X1923" s="12"/>
      <c r="AM1923" s="12"/>
    </row>
    <row r="1924" spans="9:39" x14ac:dyDescent="0.3">
      <c r="I1924" s="12"/>
      <c r="N1924" s="12"/>
      <c r="S1924" s="12"/>
      <c r="X1924" s="12"/>
      <c r="AM1924" s="12"/>
    </row>
    <row r="1925" spans="9:39" x14ac:dyDescent="0.3">
      <c r="I1925" s="12"/>
      <c r="N1925" s="12"/>
      <c r="S1925" s="12"/>
      <c r="X1925" s="12"/>
      <c r="AM1925" s="12"/>
    </row>
    <row r="1926" spans="9:39" x14ac:dyDescent="0.3">
      <c r="I1926" s="12"/>
      <c r="N1926" s="12"/>
      <c r="S1926" s="12"/>
      <c r="X1926" s="12"/>
      <c r="AM1926" s="12"/>
    </row>
    <row r="1927" spans="9:39" x14ac:dyDescent="0.3">
      <c r="I1927" s="12"/>
      <c r="N1927" s="12"/>
      <c r="S1927" s="12"/>
      <c r="X1927" s="12"/>
      <c r="AM1927" s="12"/>
    </row>
    <row r="1928" spans="9:39" x14ac:dyDescent="0.3">
      <c r="I1928" s="12"/>
      <c r="N1928" s="12"/>
      <c r="S1928" s="12"/>
      <c r="X1928" s="12"/>
      <c r="AM1928" s="12"/>
    </row>
    <row r="1929" spans="9:39" x14ac:dyDescent="0.3">
      <c r="I1929" s="12"/>
      <c r="N1929" s="12"/>
      <c r="S1929" s="12"/>
      <c r="X1929" s="12"/>
      <c r="AM1929" s="12"/>
    </row>
    <row r="1930" spans="9:39" x14ac:dyDescent="0.3">
      <c r="I1930" s="12"/>
      <c r="N1930" s="12"/>
      <c r="S1930" s="12"/>
      <c r="X1930" s="12"/>
      <c r="AM1930" s="12"/>
    </row>
    <row r="1931" spans="9:39" x14ac:dyDescent="0.3">
      <c r="I1931" s="12"/>
      <c r="N1931" s="12"/>
      <c r="S1931" s="12"/>
      <c r="X1931" s="12"/>
      <c r="AM1931" s="12"/>
    </row>
    <row r="1932" spans="9:39" x14ac:dyDescent="0.3">
      <c r="I1932" s="12"/>
      <c r="N1932" s="12"/>
      <c r="S1932" s="12"/>
      <c r="X1932" s="12"/>
      <c r="AM1932" s="12"/>
    </row>
    <row r="1933" spans="9:39" x14ac:dyDescent="0.3">
      <c r="I1933" s="12"/>
      <c r="N1933" s="12"/>
      <c r="S1933" s="12"/>
      <c r="X1933" s="12"/>
      <c r="AM1933" s="12"/>
    </row>
    <row r="1934" spans="9:39" x14ac:dyDescent="0.3">
      <c r="I1934" s="12"/>
      <c r="N1934" s="12"/>
      <c r="S1934" s="12"/>
      <c r="X1934" s="12"/>
      <c r="AM1934" s="12"/>
    </row>
    <row r="1935" spans="9:39" x14ac:dyDescent="0.3">
      <c r="I1935" s="12"/>
      <c r="N1935" s="12"/>
      <c r="S1935" s="12"/>
      <c r="X1935" s="12"/>
      <c r="AM1935" s="12"/>
    </row>
    <row r="1936" spans="9:39" x14ac:dyDescent="0.3">
      <c r="I1936" s="12"/>
      <c r="N1936" s="12"/>
      <c r="S1936" s="12"/>
      <c r="X1936" s="12"/>
      <c r="AM1936" s="12"/>
    </row>
    <row r="1937" spans="9:39" x14ac:dyDescent="0.3">
      <c r="I1937" s="12"/>
      <c r="N1937" s="12"/>
      <c r="S1937" s="12"/>
      <c r="X1937" s="12"/>
      <c r="AM1937" s="12"/>
    </row>
    <row r="1938" spans="9:39" x14ac:dyDescent="0.3">
      <c r="I1938" s="12"/>
      <c r="N1938" s="12"/>
      <c r="S1938" s="12"/>
      <c r="X1938" s="12"/>
      <c r="AM1938" s="12"/>
    </row>
    <row r="1939" spans="9:39" x14ac:dyDescent="0.3">
      <c r="I1939" s="12"/>
      <c r="N1939" s="12"/>
      <c r="S1939" s="12"/>
      <c r="X1939" s="12"/>
      <c r="AM1939" s="12"/>
    </row>
    <row r="1940" spans="9:39" x14ac:dyDescent="0.3">
      <c r="I1940" s="12"/>
      <c r="N1940" s="12"/>
      <c r="S1940" s="12"/>
      <c r="X1940" s="12"/>
      <c r="AM1940" s="12"/>
    </row>
    <row r="1941" spans="9:39" x14ac:dyDescent="0.3">
      <c r="I1941" s="12"/>
      <c r="N1941" s="12"/>
      <c r="S1941" s="12"/>
      <c r="X1941" s="12"/>
      <c r="AM1941" s="12"/>
    </row>
    <row r="1942" spans="9:39" x14ac:dyDescent="0.3">
      <c r="I1942" s="12"/>
      <c r="N1942" s="12"/>
      <c r="S1942" s="12"/>
      <c r="X1942" s="12"/>
      <c r="AM1942" s="12"/>
    </row>
    <row r="1943" spans="9:39" x14ac:dyDescent="0.3">
      <c r="I1943" s="12"/>
      <c r="N1943" s="12"/>
      <c r="S1943" s="12"/>
      <c r="X1943" s="12"/>
      <c r="AM1943" s="12"/>
    </row>
    <row r="1944" spans="9:39" x14ac:dyDescent="0.3">
      <c r="I1944" s="12"/>
      <c r="N1944" s="12"/>
      <c r="S1944" s="12"/>
      <c r="X1944" s="12"/>
      <c r="AM1944" s="12"/>
    </row>
    <row r="1945" spans="9:39" x14ac:dyDescent="0.3">
      <c r="I1945" s="12"/>
      <c r="N1945" s="12"/>
      <c r="S1945" s="12"/>
      <c r="X1945" s="12"/>
      <c r="AM1945" s="12"/>
    </row>
    <row r="1946" spans="9:39" x14ac:dyDescent="0.3">
      <c r="I1946" s="12"/>
      <c r="N1946" s="12"/>
      <c r="S1946" s="12"/>
      <c r="X1946" s="12"/>
      <c r="AM1946" s="12"/>
    </row>
    <row r="1947" spans="9:39" x14ac:dyDescent="0.3">
      <c r="I1947" s="12"/>
      <c r="N1947" s="12"/>
      <c r="S1947" s="12"/>
      <c r="X1947" s="12"/>
      <c r="AM1947" s="12"/>
    </row>
    <row r="1948" spans="9:39" x14ac:dyDescent="0.3">
      <c r="I1948" s="12"/>
      <c r="N1948" s="12"/>
      <c r="S1948" s="12"/>
      <c r="X1948" s="12"/>
      <c r="AM1948" s="12"/>
    </row>
    <row r="1949" spans="9:39" x14ac:dyDescent="0.3">
      <c r="I1949" s="12"/>
      <c r="N1949" s="12"/>
      <c r="S1949" s="12"/>
      <c r="X1949" s="12"/>
      <c r="AM1949" s="12"/>
    </row>
    <row r="1950" spans="9:39" x14ac:dyDescent="0.3">
      <c r="I1950" s="12"/>
      <c r="N1950" s="12"/>
      <c r="S1950" s="12"/>
      <c r="X1950" s="12"/>
      <c r="AM1950" s="12"/>
    </row>
    <row r="1951" spans="9:39" x14ac:dyDescent="0.3">
      <c r="I1951" s="12"/>
      <c r="N1951" s="12"/>
      <c r="S1951" s="12"/>
      <c r="X1951" s="12"/>
      <c r="AM1951" s="12"/>
    </row>
    <row r="1952" spans="9:39" x14ac:dyDescent="0.3">
      <c r="I1952" s="12"/>
      <c r="N1952" s="12"/>
      <c r="S1952" s="12"/>
      <c r="X1952" s="12"/>
      <c r="AM1952" s="12"/>
    </row>
    <row r="1953" spans="9:39" x14ac:dyDescent="0.3">
      <c r="I1953" s="12"/>
      <c r="N1953" s="12"/>
      <c r="S1953" s="12"/>
      <c r="X1953" s="12"/>
      <c r="AM1953" s="12"/>
    </row>
    <row r="1954" spans="9:39" x14ac:dyDescent="0.3">
      <c r="I1954" s="12"/>
      <c r="N1954" s="12"/>
      <c r="S1954" s="12"/>
      <c r="X1954" s="12"/>
      <c r="AM1954" s="12"/>
    </row>
    <row r="1955" spans="9:39" x14ac:dyDescent="0.3">
      <c r="I1955" s="12"/>
      <c r="N1955" s="12"/>
      <c r="S1955" s="12"/>
      <c r="X1955" s="12"/>
      <c r="AM1955" s="12"/>
    </row>
    <row r="1956" spans="9:39" x14ac:dyDescent="0.3">
      <c r="I1956" s="12"/>
      <c r="N1956" s="12"/>
      <c r="S1956" s="12"/>
      <c r="X1956" s="12"/>
      <c r="AM1956" s="12"/>
    </row>
    <row r="1957" spans="9:39" x14ac:dyDescent="0.3">
      <c r="I1957" s="12"/>
      <c r="N1957" s="12"/>
      <c r="S1957" s="12"/>
      <c r="X1957" s="12"/>
      <c r="AM1957" s="12"/>
    </row>
    <row r="1958" spans="9:39" x14ac:dyDescent="0.3">
      <c r="I1958" s="12"/>
      <c r="N1958" s="12"/>
      <c r="S1958" s="12"/>
      <c r="X1958" s="12"/>
      <c r="AM1958" s="12"/>
    </row>
    <row r="1959" spans="9:39" x14ac:dyDescent="0.3">
      <c r="I1959" s="12"/>
      <c r="N1959" s="12"/>
      <c r="S1959" s="12"/>
      <c r="X1959" s="12"/>
      <c r="AM1959" s="12"/>
    </row>
    <row r="1960" spans="9:39" x14ac:dyDescent="0.3">
      <c r="I1960" s="12"/>
      <c r="N1960" s="12"/>
      <c r="S1960" s="12"/>
      <c r="X1960" s="12"/>
      <c r="AM1960" s="12"/>
    </row>
    <row r="1961" spans="9:39" x14ac:dyDescent="0.3">
      <c r="I1961" s="12"/>
      <c r="N1961" s="12"/>
      <c r="S1961" s="12"/>
      <c r="X1961" s="12"/>
      <c r="AM1961" s="12"/>
    </row>
    <row r="1962" spans="9:39" x14ac:dyDescent="0.3">
      <c r="I1962" s="12"/>
      <c r="N1962" s="12"/>
      <c r="S1962" s="12"/>
      <c r="X1962" s="12"/>
      <c r="AM1962" s="12"/>
    </row>
    <row r="1963" spans="9:39" x14ac:dyDescent="0.3">
      <c r="I1963" s="12"/>
      <c r="N1963" s="12"/>
      <c r="S1963" s="12"/>
      <c r="X1963" s="12"/>
      <c r="AM1963" s="12"/>
    </row>
    <row r="1964" spans="9:39" x14ac:dyDescent="0.3">
      <c r="I1964" s="12"/>
      <c r="N1964" s="12"/>
      <c r="S1964" s="12"/>
      <c r="X1964" s="12"/>
      <c r="AM1964" s="12"/>
    </row>
    <row r="1965" spans="9:39" x14ac:dyDescent="0.3">
      <c r="I1965" s="12"/>
      <c r="N1965" s="12"/>
      <c r="S1965" s="12"/>
      <c r="X1965" s="12"/>
      <c r="AM1965" s="12"/>
    </row>
    <row r="1966" spans="9:39" x14ac:dyDescent="0.3">
      <c r="I1966" s="12"/>
      <c r="N1966" s="12"/>
      <c r="S1966" s="12"/>
      <c r="X1966" s="12"/>
      <c r="AM1966" s="12"/>
    </row>
    <row r="1967" spans="9:39" x14ac:dyDescent="0.3">
      <c r="I1967" s="12"/>
      <c r="N1967" s="12"/>
      <c r="S1967" s="12"/>
      <c r="X1967" s="12"/>
      <c r="AM1967" s="12"/>
    </row>
    <row r="1968" spans="9:39" x14ac:dyDescent="0.3">
      <c r="I1968" s="12"/>
      <c r="N1968" s="12"/>
      <c r="S1968" s="12"/>
      <c r="X1968" s="12"/>
      <c r="AM1968" s="12"/>
    </row>
    <row r="1969" spans="9:39" x14ac:dyDescent="0.3">
      <c r="I1969" s="12"/>
      <c r="N1969" s="12"/>
      <c r="S1969" s="12"/>
      <c r="X1969" s="12"/>
      <c r="AM1969" s="12"/>
    </row>
    <row r="1970" spans="9:39" x14ac:dyDescent="0.3">
      <c r="I1970" s="12"/>
      <c r="N1970" s="12"/>
      <c r="S1970" s="12"/>
      <c r="X1970" s="12"/>
      <c r="AM1970" s="12"/>
    </row>
    <row r="1971" spans="9:39" x14ac:dyDescent="0.3">
      <c r="I1971" s="12"/>
      <c r="N1971" s="12"/>
      <c r="S1971" s="12"/>
      <c r="X1971" s="12"/>
      <c r="AM1971" s="12"/>
    </row>
    <row r="1972" spans="9:39" x14ac:dyDescent="0.3">
      <c r="I1972" s="12"/>
      <c r="N1972" s="12"/>
      <c r="S1972" s="12"/>
      <c r="X1972" s="12"/>
      <c r="AM1972" s="12"/>
    </row>
    <row r="1973" spans="9:39" x14ac:dyDescent="0.3">
      <c r="I1973" s="12"/>
      <c r="N1973" s="12"/>
      <c r="S1973" s="12"/>
      <c r="X1973" s="12"/>
      <c r="AM1973" s="12"/>
    </row>
    <row r="1974" spans="9:39" x14ac:dyDescent="0.3">
      <c r="I1974" s="12"/>
      <c r="N1974" s="12"/>
      <c r="S1974" s="12"/>
      <c r="X1974" s="12"/>
      <c r="AM1974" s="12"/>
    </row>
    <row r="1975" spans="9:39" x14ac:dyDescent="0.3">
      <c r="I1975" s="12"/>
      <c r="N1975" s="12"/>
      <c r="S1975" s="12"/>
      <c r="X1975" s="12"/>
      <c r="AM1975" s="12"/>
    </row>
    <row r="1976" spans="9:39" x14ac:dyDescent="0.3">
      <c r="I1976" s="12"/>
      <c r="N1976" s="12"/>
      <c r="S1976" s="12"/>
      <c r="X1976" s="12"/>
      <c r="AM1976" s="12"/>
    </row>
    <row r="1977" spans="9:39" x14ac:dyDescent="0.3">
      <c r="I1977" s="12"/>
      <c r="N1977" s="12"/>
      <c r="S1977" s="12"/>
      <c r="X1977" s="12"/>
      <c r="AM1977" s="12"/>
    </row>
    <row r="1978" spans="9:39" x14ac:dyDescent="0.3">
      <c r="I1978" s="12"/>
      <c r="N1978" s="12"/>
      <c r="S1978" s="12"/>
      <c r="X1978" s="12"/>
      <c r="AM1978" s="12"/>
    </row>
    <row r="1979" spans="9:39" x14ac:dyDescent="0.3">
      <c r="I1979" s="12"/>
      <c r="N1979" s="12"/>
      <c r="S1979" s="12"/>
      <c r="X1979" s="12"/>
      <c r="AM1979" s="12"/>
    </row>
    <row r="1980" spans="9:39" x14ac:dyDescent="0.3">
      <c r="I1980" s="12"/>
      <c r="N1980" s="12"/>
      <c r="S1980" s="12"/>
      <c r="X1980" s="12"/>
      <c r="AM1980" s="12"/>
    </row>
    <row r="1981" spans="9:39" x14ac:dyDescent="0.3">
      <c r="I1981" s="12"/>
      <c r="N1981" s="12"/>
      <c r="S1981" s="12"/>
      <c r="X1981" s="12"/>
      <c r="AM1981" s="12"/>
    </row>
    <row r="1982" spans="9:39" x14ac:dyDescent="0.3">
      <c r="I1982" s="12"/>
      <c r="N1982" s="12"/>
      <c r="S1982" s="12"/>
      <c r="X1982" s="12"/>
      <c r="AM1982" s="12"/>
    </row>
    <row r="1983" spans="9:39" x14ac:dyDescent="0.3">
      <c r="I1983" s="12"/>
      <c r="N1983" s="12"/>
      <c r="S1983" s="12"/>
      <c r="X1983" s="12"/>
      <c r="AM1983" s="12"/>
    </row>
    <row r="1984" spans="9:39" x14ac:dyDescent="0.3">
      <c r="I1984" s="12"/>
      <c r="N1984" s="12"/>
      <c r="S1984" s="12"/>
      <c r="X1984" s="12"/>
      <c r="AM1984" s="12"/>
    </row>
    <row r="1985" spans="9:39" x14ac:dyDescent="0.3">
      <c r="I1985" s="12"/>
      <c r="N1985" s="12"/>
      <c r="S1985" s="12"/>
      <c r="X1985" s="12"/>
      <c r="AM1985" s="12"/>
    </row>
    <row r="1986" spans="9:39" x14ac:dyDescent="0.3">
      <c r="I1986" s="12"/>
      <c r="N1986" s="12"/>
      <c r="S1986" s="12"/>
      <c r="X1986" s="12"/>
      <c r="AM1986" s="12"/>
    </row>
    <row r="1987" spans="9:39" x14ac:dyDescent="0.3">
      <c r="I1987" s="12"/>
      <c r="N1987" s="12"/>
      <c r="S1987" s="12"/>
      <c r="X1987" s="12"/>
      <c r="AM1987" s="12"/>
    </row>
    <row r="1988" spans="9:39" x14ac:dyDescent="0.3">
      <c r="I1988" s="12"/>
      <c r="N1988" s="12"/>
      <c r="S1988" s="12"/>
      <c r="X1988" s="12"/>
      <c r="AM1988" s="12"/>
    </row>
    <row r="1989" spans="9:39" x14ac:dyDescent="0.3">
      <c r="I1989" s="12"/>
      <c r="N1989" s="12"/>
      <c r="S1989" s="12"/>
      <c r="X1989" s="12"/>
      <c r="AM1989" s="12"/>
    </row>
    <row r="1990" spans="9:39" x14ac:dyDescent="0.3">
      <c r="I1990" s="12"/>
      <c r="N1990" s="12"/>
      <c r="S1990" s="12"/>
      <c r="X1990" s="12"/>
      <c r="AM1990" s="12"/>
    </row>
    <row r="1991" spans="9:39" x14ac:dyDescent="0.3">
      <c r="I1991" s="12"/>
      <c r="N1991" s="12"/>
      <c r="S1991" s="12"/>
      <c r="X1991" s="12"/>
      <c r="AM1991" s="12"/>
    </row>
    <row r="1992" spans="9:39" x14ac:dyDescent="0.3">
      <c r="I1992" s="12"/>
      <c r="N1992" s="12"/>
      <c r="S1992" s="12"/>
      <c r="X1992" s="12"/>
      <c r="AM1992" s="12"/>
    </row>
    <row r="1993" spans="9:39" x14ac:dyDescent="0.3">
      <c r="I1993" s="12"/>
      <c r="N1993" s="12"/>
      <c r="S1993" s="12"/>
      <c r="X1993" s="12"/>
      <c r="AM1993" s="12"/>
    </row>
    <row r="1994" spans="9:39" x14ac:dyDescent="0.3">
      <c r="I1994" s="12"/>
      <c r="N1994" s="12"/>
      <c r="S1994" s="12"/>
      <c r="X1994" s="12"/>
      <c r="AM1994" s="12"/>
    </row>
    <row r="1995" spans="9:39" x14ac:dyDescent="0.3">
      <c r="I1995" s="12"/>
      <c r="N1995" s="12"/>
      <c r="S1995" s="12"/>
      <c r="X1995" s="12"/>
      <c r="AM1995" s="12"/>
    </row>
    <row r="1996" spans="9:39" x14ac:dyDescent="0.3">
      <c r="I1996" s="12"/>
      <c r="N1996" s="12"/>
      <c r="S1996" s="12"/>
      <c r="X1996" s="12"/>
      <c r="AM1996" s="12"/>
    </row>
    <row r="1997" spans="9:39" x14ac:dyDescent="0.3">
      <c r="I1997" s="12"/>
      <c r="N1997" s="12"/>
      <c r="S1997" s="12"/>
      <c r="X1997" s="12"/>
      <c r="AM1997" s="12"/>
    </row>
    <row r="1998" spans="9:39" x14ac:dyDescent="0.3">
      <c r="I1998" s="12"/>
      <c r="N1998" s="12"/>
      <c r="S1998" s="12"/>
      <c r="X1998" s="12"/>
      <c r="AM1998" s="12"/>
    </row>
    <row r="1999" spans="9:39" x14ac:dyDescent="0.3">
      <c r="I1999" s="12"/>
      <c r="N1999" s="12"/>
      <c r="S1999" s="12"/>
      <c r="X1999" s="12"/>
      <c r="AM1999" s="12"/>
    </row>
    <row r="2000" spans="9:39" x14ac:dyDescent="0.3">
      <c r="I2000" s="12"/>
      <c r="N2000" s="12"/>
      <c r="S2000" s="12"/>
      <c r="X2000" s="12"/>
      <c r="AM2000" s="12"/>
    </row>
    <row r="2001" spans="9:39" x14ac:dyDescent="0.3">
      <c r="I2001" s="12"/>
      <c r="N2001" s="12"/>
      <c r="S2001" s="12"/>
      <c r="X2001" s="12"/>
      <c r="AM2001" s="12"/>
    </row>
    <row r="2002" spans="9:39" x14ac:dyDescent="0.3">
      <c r="I2002" s="12"/>
      <c r="N2002" s="12"/>
      <c r="S2002" s="12"/>
      <c r="X2002" s="12"/>
      <c r="AM2002" s="12"/>
    </row>
    <row r="2003" spans="9:39" x14ac:dyDescent="0.3">
      <c r="I2003" s="12"/>
      <c r="N2003" s="12"/>
      <c r="S2003" s="12"/>
      <c r="X2003" s="12"/>
      <c r="AM2003" s="12"/>
    </row>
    <row r="2004" spans="9:39" x14ac:dyDescent="0.3">
      <c r="I2004" s="12"/>
      <c r="N2004" s="12"/>
      <c r="S2004" s="12"/>
      <c r="X2004" s="12"/>
      <c r="AM2004" s="12"/>
    </row>
    <row r="2005" spans="9:39" x14ac:dyDescent="0.3">
      <c r="I2005" s="12"/>
      <c r="N2005" s="12"/>
      <c r="S2005" s="12"/>
      <c r="X2005" s="12"/>
      <c r="AM2005" s="12"/>
    </row>
    <row r="2006" spans="9:39" x14ac:dyDescent="0.3">
      <c r="I2006" s="12"/>
      <c r="N2006" s="12"/>
      <c r="S2006" s="12"/>
      <c r="X2006" s="12"/>
      <c r="AM2006" s="12"/>
    </row>
    <row r="2007" spans="9:39" x14ac:dyDescent="0.3">
      <c r="I2007" s="12"/>
      <c r="N2007" s="12"/>
      <c r="S2007" s="12"/>
      <c r="X2007" s="12"/>
      <c r="AM2007" s="12"/>
    </row>
    <row r="2008" spans="9:39" x14ac:dyDescent="0.3">
      <c r="I2008" s="12"/>
      <c r="N2008" s="12"/>
      <c r="S2008" s="12"/>
      <c r="X2008" s="12"/>
      <c r="AM2008" s="12"/>
    </row>
    <row r="2009" spans="9:39" x14ac:dyDescent="0.3">
      <c r="I2009" s="12"/>
      <c r="N2009" s="12"/>
      <c r="S2009" s="12"/>
      <c r="X2009" s="12"/>
      <c r="AM2009" s="12"/>
    </row>
    <row r="2010" spans="9:39" x14ac:dyDescent="0.3">
      <c r="I2010" s="12"/>
      <c r="N2010" s="12"/>
      <c r="S2010" s="12"/>
      <c r="X2010" s="12"/>
      <c r="AM2010" s="12"/>
    </row>
    <row r="2011" spans="9:39" x14ac:dyDescent="0.3">
      <c r="I2011" s="12"/>
      <c r="N2011" s="12"/>
      <c r="S2011" s="12"/>
      <c r="X2011" s="12"/>
      <c r="AM2011" s="12"/>
    </row>
    <row r="2012" spans="9:39" x14ac:dyDescent="0.3">
      <c r="I2012" s="12"/>
      <c r="N2012" s="12"/>
      <c r="S2012" s="12"/>
      <c r="X2012" s="12"/>
      <c r="AM2012" s="12"/>
    </row>
    <row r="2013" spans="9:39" x14ac:dyDescent="0.3">
      <c r="I2013" s="12"/>
      <c r="N2013" s="12"/>
      <c r="S2013" s="12"/>
      <c r="X2013" s="12"/>
      <c r="AM2013" s="12"/>
    </row>
    <row r="2014" spans="9:39" x14ac:dyDescent="0.3">
      <c r="I2014" s="12"/>
      <c r="N2014" s="12"/>
      <c r="S2014" s="12"/>
      <c r="X2014" s="12"/>
      <c r="AM2014" s="12"/>
    </row>
    <row r="2015" spans="9:39" x14ac:dyDescent="0.3">
      <c r="I2015" s="12"/>
      <c r="N2015" s="12"/>
      <c r="S2015" s="12"/>
      <c r="X2015" s="12"/>
      <c r="AM2015" s="12"/>
    </row>
    <row r="2016" spans="9:39" x14ac:dyDescent="0.3">
      <c r="I2016" s="12"/>
      <c r="N2016" s="12"/>
      <c r="S2016" s="12"/>
      <c r="X2016" s="12"/>
      <c r="AM2016" s="12"/>
    </row>
    <row r="2017" spans="9:39" x14ac:dyDescent="0.3">
      <c r="I2017" s="12"/>
      <c r="N2017" s="12"/>
      <c r="S2017" s="12"/>
      <c r="X2017" s="12"/>
      <c r="AM2017" s="12"/>
    </row>
    <row r="2018" spans="9:39" x14ac:dyDescent="0.3">
      <c r="I2018" s="12"/>
      <c r="N2018" s="12"/>
      <c r="S2018" s="12"/>
      <c r="X2018" s="12"/>
      <c r="AM2018" s="12"/>
    </row>
    <row r="2019" spans="9:39" x14ac:dyDescent="0.3">
      <c r="I2019" s="12"/>
      <c r="N2019" s="12"/>
      <c r="S2019" s="12"/>
      <c r="X2019" s="12"/>
      <c r="AM2019" s="12"/>
    </row>
    <row r="2020" spans="9:39" x14ac:dyDescent="0.3">
      <c r="I2020" s="12"/>
      <c r="N2020" s="12"/>
      <c r="S2020" s="12"/>
      <c r="X2020" s="12"/>
      <c r="AM2020" s="12"/>
    </row>
    <row r="2021" spans="9:39" x14ac:dyDescent="0.3">
      <c r="I2021" s="12"/>
      <c r="N2021" s="12"/>
      <c r="S2021" s="12"/>
      <c r="X2021" s="12"/>
      <c r="AM2021" s="12"/>
    </row>
    <row r="2022" spans="9:39" x14ac:dyDescent="0.3">
      <c r="I2022" s="12"/>
      <c r="N2022" s="12"/>
      <c r="S2022" s="12"/>
      <c r="X2022" s="12"/>
      <c r="AM2022" s="12"/>
    </row>
    <row r="2023" spans="9:39" x14ac:dyDescent="0.3">
      <c r="I2023" s="12"/>
      <c r="N2023" s="12"/>
      <c r="S2023" s="12"/>
      <c r="X2023" s="12"/>
      <c r="AM2023" s="12"/>
    </row>
    <row r="2024" spans="9:39" x14ac:dyDescent="0.3">
      <c r="I2024" s="12"/>
      <c r="N2024" s="12"/>
      <c r="S2024" s="12"/>
      <c r="X2024" s="12"/>
      <c r="AM2024" s="12"/>
    </row>
    <row r="2025" spans="9:39" x14ac:dyDescent="0.3">
      <c r="I2025" s="12"/>
      <c r="N2025" s="12"/>
      <c r="S2025" s="12"/>
      <c r="X2025" s="12"/>
      <c r="AM2025" s="12"/>
    </row>
    <row r="2026" spans="9:39" x14ac:dyDescent="0.3">
      <c r="I2026" s="12"/>
      <c r="N2026" s="12"/>
      <c r="S2026" s="12"/>
      <c r="X2026" s="12"/>
      <c r="AM2026" s="12"/>
    </row>
    <row r="2027" spans="9:39" x14ac:dyDescent="0.3">
      <c r="I2027" s="12"/>
      <c r="N2027" s="12"/>
      <c r="S2027" s="12"/>
      <c r="X2027" s="12"/>
      <c r="AM2027" s="12"/>
    </row>
    <row r="2028" spans="9:39" x14ac:dyDescent="0.3">
      <c r="I2028" s="12"/>
      <c r="N2028" s="12"/>
      <c r="S2028" s="12"/>
      <c r="X2028" s="12"/>
      <c r="AM2028" s="12"/>
    </row>
    <row r="2029" spans="9:39" x14ac:dyDescent="0.3">
      <c r="I2029" s="12"/>
      <c r="N2029" s="12"/>
      <c r="S2029" s="12"/>
      <c r="X2029" s="12"/>
      <c r="AM2029" s="12"/>
    </row>
    <row r="2030" spans="9:39" x14ac:dyDescent="0.3">
      <c r="I2030" s="12"/>
      <c r="N2030" s="12"/>
      <c r="S2030" s="12"/>
      <c r="X2030" s="12"/>
      <c r="AM2030" s="12"/>
    </row>
    <row r="2031" spans="9:39" x14ac:dyDescent="0.3">
      <c r="I2031" s="12"/>
      <c r="N2031" s="12"/>
      <c r="S2031" s="12"/>
      <c r="X2031" s="12"/>
      <c r="AM2031" s="12"/>
    </row>
    <row r="2032" spans="9:39" x14ac:dyDescent="0.3">
      <c r="I2032" s="12"/>
      <c r="N2032" s="12"/>
      <c r="S2032" s="12"/>
      <c r="X2032" s="12"/>
      <c r="AM2032" s="12"/>
    </row>
    <row r="2033" spans="9:39" x14ac:dyDescent="0.3">
      <c r="I2033" s="12"/>
      <c r="N2033" s="12"/>
      <c r="S2033" s="12"/>
      <c r="X2033" s="12"/>
      <c r="AM2033" s="12"/>
    </row>
    <row r="2034" spans="9:39" x14ac:dyDescent="0.3">
      <c r="I2034" s="12"/>
      <c r="N2034" s="12"/>
      <c r="S2034" s="12"/>
      <c r="X2034" s="12"/>
      <c r="AM2034" s="12"/>
    </row>
    <row r="2035" spans="9:39" x14ac:dyDescent="0.3">
      <c r="I2035" s="12"/>
      <c r="N2035" s="12"/>
      <c r="S2035" s="12"/>
      <c r="X2035" s="12"/>
      <c r="AM2035" s="12"/>
    </row>
    <row r="2036" spans="9:39" x14ac:dyDescent="0.3">
      <c r="I2036" s="12"/>
      <c r="N2036" s="12"/>
      <c r="S2036" s="12"/>
      <c r="X2036" s="12"/>
      <c r="AM2036" s="12"/>
    </row>
    <row r="2037" spans="9:39" x14ac:dyDescent="0.3">
      <c r="I2037" s="12"/>
      <c r="N2037" s="12"/>
      <c r="S2037" s="12"/>
      <c r="X2037" s="12"/>
      <c r="AM2037" s="12"/>
    </row>
    <row r="2038" spans="9:39" x14ac:dyDescent="0.3">
      <c r="I2038" s="12"/>
      <c r="N2038" s="12"/>
      <c r="S2038" s="12"/>
      <c r="X2038" s="12"/>
      <c r="AM2038" s="12"/>
    </row>
    <row r="2039" spans="9:39" x14ac:dyDescent="0.3">
      <c r="I2039" s="12"/>
      <c r="N2039" s="12"/>
      <c r="S2039" s="12"/>
      <c r="X2039" s="12"/>
      <c r="AM2039" s="12"/>
    </row>
    <row r="2040" spans="9:39" x14ac:dyDescent="0.3">
      <c r="I2040" s="12"/>
      <c r="N2040" s="12"/>
      <c r="S2040" s="12"/>
      <c r="X2040" s="12"/>
      <c r="AM2040" s="12"/>
    </row>
    <row r="2041" spans="9:39" x14ac:dyDescent="0.3">
      <c r="I2041" s="12"/>
      <c r="N2041" s="12"/>
      <c r="S2041" s="12"/>
      <c r="X2041" s="12"/>
      <c r="AM2041" s="12"/>
    </row>
    <row r="2042" spans="9:39" x14ac:dyDescent="0.3">
      <c r="I2042" s="12"/>
      <c r="N2042" s="12"/>
      <c r="S2042" s="12"/>
      <c r="X2042" s="12"/>
      <c r="AM2042" s="12"/>
    </row>
    <row r="2043" spans="9:39" x14ac:dyDescent="0.3">
      <c r="I2043" s="12"/>
      <c r="N2043" s="12"/>
      <c r="S2043" s="12"/>
      <c r="X2043" s="12"/>
      <c r="AM2043" s="12"/>
    </row>
    <row r="2044" spans="9:39" x14ac:dyDescent="0.3">
      <c r="I2044" s="12"/>
      <c r="N2044" s="12"/>
      <c r="S2044" s="12"/>
      <c r="X2044" s="12"/>
      <c r="AM2044" s="12"/>
    </row>
    <row r="2045" spans="9:39" x14ac:dyDescent="0.3">
      <c r="I2045" s="12"/>
      <c r="N2045" s="12"/>
      <c r="S2045" s="12"/>
      <c r="X2045" s="12"/>
      <c r="AM2045" s="12"/>
    </row>
    <row r="2046" spans="9:39" x14ac:dyDescent="0.3">
      <c r="I2046" s="12"/>
      <c r="N2046" s="12"/>
      <c r="S2046" s="12"/>
      <c r="X2046" s="12"/>
      <c r="AM2046" s="12"/>
    </row>
    <row r="2047" spans="9:39" x14ac:dyDescent="0.3">
      <c r="I2047" s="12"/>
      <c r="N2047" s="12"/>
      <c r="S2047" s="12"/>
      <c r="X2047" s="12"/>
      <c r="AM2047" s="12"/>
    </row>
    <row r="2048" spans="9:39" x14ac:dyDescent="0.3">
      <c r="I2048" s="12"/>
      <c r="N2048" s="12"/>
      <c r="S2048" s="12"/>
      <c r="X2048" s="12"/>
      <c r="AM2048" s="12"/>
    </row>
    <row r="2049" spans="9:39" x14ac:dyDescent="0.3">
      <c r="I2049" s="12"/>
      <c r="N2049" s="12"/>
      <c r="S2049" s="12"/>
      <c r="X2049" s="12"/>
      <c r="AM2049" s="12"/>
    </row>
    <row r="2050" spans="9:39" x14ac:dyDescent="0.3">
      <c r="I2050" s="12"/>
      <c r="N2050" s="12"/>
      <c r="S2050" s="12"/>
      <c r="X2050" s="12"/>
      <c r="AM2050" s="12"/>
    </row>
    <row r="2051" spans="9:39" x14ac:dyDescent="0.3">
      <c r="I2051" s="12"/>
      <c r="N2051" s="12"/>
      <c r="S2051" s="12"/>
      <c r="X2051" s="12"/>
      <c r="AM2051" s="12"/>
    </row>
    <row r="2052" spans="9:39" x14ac:dyDescent="0.3">
      <c r="I2052" s="12"/>
      <c r="N2052" s="12"/>
      <c r="S2052" s="12"/>
      <c r="X2052" s="12"/>
      <c r="AM2052" s="12"/>
    </row>
    <row r="2053" spans="9:39" x14ac:dyDescent="0.3">
      <c r="I2053" s="12"/>
      <c r="N2053" s="12"/>
      <c r="S2053" s="12"/>
      <c r="X2053" s="12"/>
      <c r="AM2053" s="12"/>
    </row>
    <row r="2054" spans="9:39" x14ac:dyDescent="0.3">
      <c r="I2054" s="12"/>
      <c r="N2054" s="12"/>
      <c r="S2054" s="12"/>
      <c r="X2054" s="12"/>
      <c r="AM2054" s="12"/>
    </row>
    <row r="2055" spans="9:39" x14ac:dyDescent="0.3">
      <c r="I2055" s="12"/>
      <c r="N2055" s="12"/>
      <c r="S2055" s="12"/>
      <c r="X2055" s="12"/>
      <c r="AM2055" s="12"/>
    </row>
    <row r="2056" spans="9:39" x14ac:dyDescent="0.3">
      <c r="I2056" s="12"/>
      <c r="N2056" s="12"/>
      <c r="S2056" s="12"/>
      <c r="X2056" s="12"/>
      <c r="AM2056" s="12"/>
    </row>
    <row r="2057" spans="9:39" x14ac:dyDescent="0.3">
      <c r="I2057" s="12"/>
      <c r="N2057" s="12"/>
      <c r="S2057" s="12"/>
      <c r="X2057" s="12"/>
      <c r="AM2057" s="12"/>
    </row>
    <row r="2058" spans="9:39" x14ac:dyDescent="0.3">
      <c r="I2058" s="12"/>
      <c r="N2058" s="12"/>
      <c r="S2058" s="12"/>
      <c r="X2058" s="12"/>
      <c r="AM2058" s="12"/>
    </row>
    <row r="2059" spans="9:39" x14ac:dyDescent="0.3">
      <c r="I2059" s="12"/>
      <c r="N2059" s="12"/>
      <c r="S2059" s="12"/>
      <c r="X2059" s="12"/>
      <c r="AM2059" s="12"/>
    </row>
    <row r="2060" spans="9:39" x14ac:dyDescent="0.3">
      <c r="I2060" s="12"/>
      <c r="N2060" s="12"/>
      <c r="S2060" s="12"/>
      <c r="X2060" s="12"/>
      <c r="AM2060" s="12"/>
    </row>
    <row r="2061" spans="9:39" x14ac:dyDescent="0.3">
      <c r="I2061" s="12"/>
      <c r="N2061" s="12"/>
      <c r="S2061" s="12"/>
      <c r="X2061" s="12"/>
      <c r="AM2061" s="12"/>
    </row>
    <row r="2062" spans="9:39" x14ac:dyDescent="0.3">
      <c r="I2062" s="12"/>
      <c r="N2062" s="12"/>
      <c r="S2062" s="12"/>
      <c r="X2062" s="12"/>
      <c r="AM2062" s="12"/>
    </row>
    <row r="2063" spans="9:39" x14ac:dyDescent="0.3">
      <c r="I2063" s="12"/>
      <c r="N2063" s="12"/>
      <c r="S2063" s="12"/>
      <c r="X2063" s="12"/>
      <c r="AM2063" s="12"/>
    </row>
    <row r="2064" spans="9:39" x14ac:dyDescent="0.3">
      <c r="I2064" s="12"/>
      <c r="N2064" s="12"/>
      <c r="S2064" s="12"/>
      <c r="X2064" s="12"/>
      <c r="AM2064" s="12"/>
    </row>
    <row r="2065" spans="9:39" x14ac:dyDescent="0.3">
      <c r="I2065" s="12"/>
      <c r="N2065" s="12"/>
      <c r="S2065" s="12"/>
      <c r="X2065" s="12"/>
      <c r="AM2065" s="12"/>
    </row>
    <row r="2066" spans="9:39" x14ac:dyDescent="0.3">
      <c r="I2066" s="12"/>
      <c r="N2066" s="12"/>
      <c r="S2066" s="12"/>
      <c r="X2066" s="12"/>
      <c r="AM2066" s="12"/>
    </row>
    <row r="2067" spans="9:39" x14ac:dyDescent="0.3">
      <c r="I2067" s="12"/>
      <c r="N2067" s="12"/>
      <c r="S2067" s="12"/>
      <c r="X2067" s="12"/>
      <c r="AM2067" s="12"/>
    </row>
    <row r="2068" spans="9:39" x14ac:dyDescent="0.3">
      <c r="I2068" s="12"/>
      <c r="N2068" s="12"/>
      <c r="S2068" s="12"/>
      <c r="X2068" s="12"/>
      <c r="AM2068" s="12"/>
    </row>
    <row r="2069" spans="9:39" x14ac:dyDescent="0.3">
      <c r="I2069" s="12"/>
      <c r="N2069" s="12"/>
      <c r="S2069" s="12"/>
      <c r="X2069" s="12"/>
      <c r="AM2069" s="12"/>
    </row>
    <row r="2070" spans="9:39" x14ac:dyDescent="0.3">
      <c r="I2070" s="12"/>
      <c r="N2070" s="12"/>
      <c r="S2070" s="12"/>
      <c r="X2070" s="12"/>
      <c r="AM2070" s="12"/>
    </row>
    <row r="2071" spans="9:39" x14ac:dyDescent="0.3">
      <c r="I2071" s="12"/>
      <c r="N2071" s="12"/>
      <c r="S2071" s="12"/>
      <c r="X2071" s="12"/>
      <c r="AM2071" s="12"/>
    </row>
    <row r="2072" spans="9:39" x14ac:dyDescent="0.3">
      <c r="I2072" s="12"/>
      <c r="N2072" s="12"/>
      <c r="S2072" s="12"/>
      <c r="X2072" s="12"/>
      <c r="AM2072" s="12"/>
    </row>
    <row r="2073" spans="9:39" x14ac:dyDescent="0.3">
      <c r="I2073" s="12"/>
      <c r="N2073" s="12"/>
      <c r="S2073" s="12"/>
      <c r="X2073" s="12"/>
      <c r="AM2073" s="12"/>
    </row>
    <row r="2074" spans="9:39" x14ac:dyDescent="0.3">
      <c r="I2074" s="12"/>
      <c r="N2074" s="12"/>
      <c r="S2074" s="12"/>
      <c r="X2074" s="12"/>
      <c r="AM2074" s="12"/>
    </row>
    <row r="2075" spans="9:39" x14ac:dyDescent="0.3">
      <c r="I2075" s="12"/>
      <c r="N2075" s="12"/>
      <c r="S2075" s="12"/>
      <c r="X2075" s="12"/>
      <c r="AM2075" s="12"/>
    </row>
    <row r="2076" spans="9:39" x14ac:dyDescent="0.3">
      <c r="I2076" s="12"/>
      <c r="N2076" s="12"/>
      <c r="S2076" s="12"/>
      <c r="X2076" s="12"/>
      <c r="AM2076" s="12"/>
    </row>
    <row r="2077" spans="9:39" x14ac:dyDescent="0.3">
      <c r="I2077" s="12"/>
      <c r="N2077" s="12"/>
      <c r="S2077" s="12"/>
      <c r="X2077" s="12"/>
      <c r="AM2077" s="12"/>
    </row>
    <row r="2078" spans="9:39" x14ac:dyDescent="0.3">
      <c r="I2078" s="12"/>
      <c r="N2078" s="12"/>
      <c r="S2078" s="12"/>
      <c r="X2078" s="12"/>
      <c r="AM2078" s="12"/>
    </row>
    <row r="2079" spans="9:39" x14ac:dyDescent="0.3">
      <c r="I2079" s="12"/>
      <c r="N2079" s="12"/>
      <c r="S2079" s="12"/>
      <c r="X2079" s="12"/>
      <c r="AM2079" s="12"/>
    </row>
    <row r="2080" spans="9:39" x14ac:dyDescent="0.3">
      <c r="I2080" s="12"/>
      <c r="N2080" s="12"/>
      <c r="S2080" s="12"/>
      <c r="X2080" s="12"/>
      <c r="AM2080" s="12"/>
    </row>
    <row r="2081" spans="9:39" x14ac:dyDescent="0.3">
      <c r="I2081" s="12"/>
      <c r="N2081" s="12"/>
      <c r="S2081" s="12"/>
      <c r="X2081" s="12"/>
      <c r="AM2081" s="12"/>
    </row>
    <row r="2082" spans="9:39" x14ac:dyDescent="0.3">
      <c r="I2082" s="12"/>
      <c r="N2082" s="12"/>
      <c r="S2082" s="12"/>
      <c r="X2082" s="12"/>
      <c r="AM2082" s="12"/>
    </row>
    <row r="2083" spans="9:39" x14ac:dyDescent="0.3">
      <c r="I2083" s="12"/>
      <c r="N2083" s="12"/>
      <c r="S2083" s="12"/>
      <c r="X2083" s="12"/>
      <c r="AM2083" s="12"/>
    </row>
    <row r="2084" spans="9:39" x14ac:dyDescent="0.3">
      <c r="I2084" s="12"/>
      <c r="N2084" s="12"/>
      <c r="S2084" s="12"/>
      <c r="X2084" s="12"/>
      <c r="AM2084" s="12"/>
    </row>
    <row r="2085" spans="9:39" x14ac:dyDescent="0.3">
      <c r="I2085" s="12"/>
      <c r="N2085" s="12"/>
      <c r="S2085" s="12"/>
      <c r="X2085" s="12"/>
      <c r="AM2085" s="12"/>
    </row>
    <row r="2086" spans="9:39" x14ac:dyDescent="0.3">
      <c r="I2086" s="12"/>
      <c r="N2086" s="12"/>
      <c r="S2086" s="12"/>
      <c r="X2086" s="12"/>
      <c r="AM2086" s="12"/>
    </row>
    <row r="2087" spans="9:39" x14ac:dyDescent="0.3">
      <c r="I2087" s="12"/>
      <c r="N2087" s="12"/>
      <c r="S2087" s="12"/>
      <c r="X2087" s="12"/>
      <c r="AM2087" s="12"/>
    </row>
    <row r="2088" spans="9:39" x14ac:dyDescent="0.3">
      <c r="I2088" s="12"/>
      <c r="N2088" s="12"/>
      <c r="S2088" s="12"/>
      <c r="X2088" s="12"/>
      <c r="AM2088" s="12"/>
    </row>
    <row r="2089" spans="9:39" x14ac:dyDescent="0.3">
      <c r="I2089" s="12"/>
      <c r="N2089" s="12"/>
      <c r="S2089" s="12"/>
      <c r="X2089" s="12"/>
      <c r="AM2089" s="12"/>
    </row>
    <row r="2090" spans="9:39" x14ac:dyDescent="0.3">
      <c r="I2090" s="12"/>
      <c r="N2090" s="12"/>
      <c r="S2090" s="12"/>
      <c r="X2090" s="12"/>
      <c r="AM2090" s="12"/>
    </row>
    <row r="2091" spans="9:39" x14ac:dyDescent="0.3">
      <c r="I2091" s="12"/>
      <c r="N2091" s="12"/>
      <c r="S2091" s="12"/>
      <c r="X2091" s="12"/>
      <c r="AM2091" s="12"/>
    </row>
    <row r="2092" spans="9:39" x14ac:dyDescent="0.3">
      <c r="I2092" s="12"/>
      <c r="N2092" s="12"/>
      <c r="S2092" s="12"/>
      <c r="X2092" s="12"/>
      <c r="AM2092" s="12"/>
    </row>
    <row r="2093" spans="9:39" x14ac:dyDescent="0.3">
      <c r="I2093" s="12"/>
      <c r="N2093" s="12"/>
      <c r="S2093" s="12"/>
      <c r="X2093" s="12"/>
      <c r="AM2093" s="12"/>
    </row>
    <row r="2094" spans="9:39" x14ac:dyDescent="0.3">
      <c r="I2094" s="12"/>
      <c r="N2094" s="12"/>
      <c r="S2094" s="12"/>
      <c r="X2094" s="12"/>
      <c r="AM2094" s="12"/>
    </row>
    <row r="2095" spans="9:39" x14ac:dyDescent="0.3">
      <c r="I2095" s="12"/>
      <c r="N2095" s="12"/>
      <c r="S2095" s="12"/>
      <c r="X2095" s="12"/>
      <c r="AM2095" s="12"/>
    </row>
    <row r="2096" spans="9:39" x14ac:dyDescent="0.3">
      <c r="I2096" s="12"/>
      <c r="N2096" s="12"/>
      <c r="S2096" s="12"/>
      <c r="X2096" s="12"/>
      <c r="AM2096" s="12"/>
    </row>
    <row r="2097" spans="9:39" x14ac:dyDescent="0.3">
      <c r="I2097" s="12"/>
      <c r="N2097" s="12"/>
      <c r="S2097" s="12"/>
      <c r="X2097" s="12"/>
      <c r="AM2097" s="12"/>
    </row>
    <row r="2098" spans="9:39" x14ac:dyDescent="0.3">
      <c r="I2098" s="12"/>
      <c r="N2098" s="12"/>
      <c r="S2098" s="12"/>
      <c r="X2098" s="12"/>
      <c r="AM2098" s="12"/>
    </row>
    <row r="2099" spans="9:39" x14ac:dyDescent="0.3">
      <c r="I2099" s="12"/>
      <c r="N2099" s="12"/>
      <c r="S2099" s="12"/>
      <c r="X2099" s="12"/>
      <c r="AM2099" s="12"/>
    </row>
    <row r="2100" spans="9:39" x14ac:dyDescent="0.3">
      <c r="I2100" s="12"/>
      <c r="N2100" s="12"/>
      <c r="S2100" s="12"/>
      <c r="X2100" s="12"/>
      <c r="AM2100" s="12"/>
    </row>
    <row r="2101" spans="9:39" x14ac:dyDescent="0.3">
      <c r="I2101" s="12"/>
      <c r="N2101" s="12"/>
      <c r="S2101" s="12"/>
      <c r="X2101" s="12"/>
      <c r="AM2101" s="12"/>
    </row>
    <row r="2102" spans="9:39" x14ac:dyDescent="0.3">
      <c r="I2102" s="12"/>
      <c r="N2102" s="12"/>
      <c r="S2102" s="12"/>
      <c r="X2102" s="12"/>
      <c r="AM2102" s="12"/>
    </row>
    <row r="2103" spans="9:39" x14ac:dyDescent="0.3">
      <c r="I2103" s="12"/>
      <c r="N2103" s="12"/>
      <c r="S2103" s="12"/>
      <c r="X2103" s="12"/>
      <c r="AM2103" s="12"/>
    </row>
    <row r="2104" spans="9:39" x14ac:dyDescent="0.3">
      <c r="I2104" s="12"/>
      <c r="N2104" s="12"/>
      <c r="S2104" s="12"/>
      <c r="X2104" s="12"/>
      <c r="AM2104" s="12"/>
    </row>
    <row r="2105" spans="9:39" x14ac:dyDescent="0.3">
      <c r="I2105" s="12"/>
      <c r="N2105" s="12"/>
      <c r="S2105" s="12"/>
      <c r="X2105" s="12"/>
      <c r="AM2105" s="12"/>
    </row>
    <row r="2106" spans="9:39" x14ac:dyDescent="0.3">
      <c r="I2106" s="12"/>
      <c r="N2106" s="12"/>
      <c r="S2106" s="12"/>
      <c r="X2106" s="12"/>
      <c r="AM2106" s="12"/>
    </row>
    <row r="2107" spans="9:39" x14ac:dyDescent="0.3">
      <c r="I2107" s="12"/>
      <c r="N2107" s="12"/>
      <c r="S2107" s="12"/>
      <c r="X2107" s="12"/>
      <c r="AM2107" s="12"/>
    </row>
    <row r="2108" spans="9:39" x14ac:dyDescent="0.3">
      <c r="I2108" s="12"/>
      <c r="N2108" s="12"/>
      <c r="S2108" s="12"/>
      <c r="X2108" s="12"/>
      <c r="AM2108" s="12"/>
    </row>
    <row r="2109" spans="9:39" x14ac:dyDescent="0.3">
      <c r="I2109" s="12"/>
      <c r="N2109" s="12"/>
      <c r="S2109" s="12"/>
      <c r="X2109" s="12"/>
      <c r="AM2109" s="12"/>
    </row>
    <row r="2110" spans="9:39" x14ac:dyDescent="0.3">
      <c r="I2110" s="12"/>
      <c r="N2110" s="12"/>
      <c r="S2110" s="12"/>
      <c r="X2110" s="12"/>
      <c r="AM2110" s="12"/>
    </row>
    <row r="2111" spans="9:39" x14ac:dyDescent="0.3">
      <c r="I2111" s="12"/>
      <c r="N2111" s="12"/>
      <c r="S2111" s="12"/>
      <c r="X2111" s="12"/>
      <c r="AM2111" s="12"/>
    </row>
    <row r="2112" spans="9:39" x14ac:dyDescent="0.3">
      <c r="I2112" s="12"/>
      <c r="N2112" s="12"/>
      <c r="S2112" s="12"/>
      <c r="X2112" s="12"/>
      <c r="AM2112" s="12"/>
    </row>
    <row r="2113" spans="9:39" x14ac:dyDescent="0.3">
      <c r="I2113" s="12"/>
      <c r="N2113" s="12"/>
      <c r="S2113" s="12"/>
      <c r="X2113" s="12"/>
      <c r="AM2113" s="12"/>
    </row>
    <row r="2114" spans="9:39" x14ac:dyDescent="0.3">
      <c r="I2114" s="12"/>
      <c r="N2114" s="12"/>
      <c r="S2114" s="12"/>
      <c r="X2114" s="12"/>
      <c r="AM2114" s="12"/>
    </row>
    <row r="2115" spans="9:39" x14ac:dyDescent="0.3">
      <c r="I2115" s="12"/>
      <c r="N2115" s="12"/>
      <c r="S2115" s="12"/>
      <c r="X2115" s="12"/>
      <c r="AM2115" s="12"/>
    </row>
    <row r="2116" spans="9:39" x14ac:dyDescent="0.3">
      <c r="I2116" s="12"/>
      <c r="N2116" s="12"/>
      <c r="S2116" s="12"/>
      <c r="X2116" s="12"/>
      <c r="AM2116" s="12"/>
    </row>
    <row r="2117" spans="9:39" x14ac:dyDescent="0.3">
      <c r="I2117" s="12"/>
      <c r="N2117" s="12"/>
      <c r="S2117" s="12"/>
      <c r="X2117" s="12"/>
      <c r="AM2117" s="12"/>
    </row>
    <row r="2118" spans="9:39" x14ac:dyDescent="0.3">
      <c r="I2118" s="12"/>
      <c r="N2118" s="12"/>
      <c r="S2118" s="12"/>
      <c r="X2118" s="12"/>
      <c r="AM2118" s="12"/>
    </row>
    <row r="2119" spans="9:39" x14ac:dyDescent="0.3">
      <c r="I2119" s="12"/>
      <c r="N2119" s="12"/>
      <c r="S2119" s="12"/>
      <c r="X2119" s="12"/>
      <c r="AM2119" s="12"/>
    </row>
    <row r="2120" spans="9:39" x14ac:dyDescent="0.3">
      <c r="I2120" s="12"/>
      <c r="N2120" s="12"/>
      <c r="S2120" s="12"/>
      <c r="X2120" s="12"/>
      <c r="AM2120" s="12"/>
    </row>
    <row r="2121" spans="9:39" x14ac:dyDescent="0.3">
      <c r="I2121" s="12"/>
      <c r="N2121" s="12"/>
      <c r="S2121" s="12"/>
      <c r="X2121" s="12"/>
      <c r="AM2121" s="12"/>
    </row>
    <row r="2122" spans="9:39" x14ac:dyDescent="0.3">
      <c r="I2122" s="12"/>
      <c r="N2122" s="12"/>
      <c r="S2122" s="12"/>
      <c r="X2122" s="12"/>
      <c r="AM2122" s="12"/>
    </row>
    <row r="2123" spans="9:39" x14ac:dyDescent="0.3">
      <c r="I2123" s="12"/>
      <c r="N2123" s="12"/>
      <c r="S2123" s="12"/>
      <c r="X2123" s="12"/>
      <c r="AM2123" s="12"/>
    </row>
    <row r="2124" spans="9:39" x14ac:dyDescent="0.3">
      <c r="I2124" s="12"/>
      <c r="N2124" s="12"/>
      <c r="S2124" s="12"/>
      <c r="X2124" s="12"/>
      <c r="AM2124" s="12"/>
    </row>
    <row r="2125" spans="9:39" x14ac:dyDescent="0.3">
      <c r="I2125" s="12"/>
      <c r="N2125" s="12"/>
      <c r="S2125" s="12"/>
      <c r="X2125" s="12"/>
      <c r="AM2125" s="12"/>
    </row>
    <row r="2126" spans="9:39" x14ac:dyDescent="0.3">
      <c r="I2126" s="12"/>
      <c r="N2126" s="12"/>
      <c r="S2126" s="12"/>
      <c r="X2126" s="12"/>
      <c r="AM2126" s="12"/>
    </row>
    <row r="2127" spans="9:39" x14ac:dyDescent="0.3">
      <c r="I2127" s="12"/>
      <c r="N2127" s="12"/>
      <c r="S2127" s="12"/>
      <c r="X2127" s="12"/>
      <c r="AM2127" s="12"/>
    </row>
    <row r="2128" spans="9:39" x14ac:dyDescent="0.3">
      <c r="I2128" s="12"/>
      <c r="N2128" s="12"/>
      <c r="S2128" s="12"/>
      <c r="X2128" s="12"/>
      <c r="AM2128" s="12"/>
    </row>
    <row r="2129" spans="9:39" x14ac:dyDescent="0.3">
      <c r="I2129" s="12"/>
      <c r="N2129" s="12"/>
      <c r="S2129" s="12"/>
      <c r="X2129" s="12"/>
      <c r="AM2129" s="12"/>
    </row>
    <row r="2130" spans="9:39" x14ac:dyDescent="0.3">
      <c r="I2130" s="12"/>
      <c r="N2130" s="12"/>
      <c r="S2130" s="12"/>
      <c r="X2130" s="12"/>
      <c r="AM2130" s="12"/>
    </row>
    <row r="2131" spans="9:39" x14ac:dyDescent="0.3">
      <c r="I2131" s="12"/>
      <c r="N2131" s="12"/>
      <c r="S2131" s="12"/>
      <c r="X2131" s="12"/>
      <c r="AM2131" s="12"/>
    </row>
    <row r="2132" spans="9:39" x14ac:dyDescent="0.3">
      <c r="I2132" s="12"/>
      <c r="N2132" s="12"/>
      <c r="S2132" s="12"/>
      <c r="X2132" s="12"/>
      <c r="AM2132" s="12"/>
    </row>
    <row r="2133" spans="9:39" x14ac:dyDescent="0.3">
      <c r="I2133" s="12"/>
      <c r="N2133" s="12"/>
      <c r="S2133" s="12"/>
      <c r="X2133" s="12"/>
      <c r="AM2133" s="12"/>
    </row>
    <row r="2134" spans="9:39" x14ac:dyDescent="0.3">
      <c r="I2134" s="12"/>
      <c r="N2134" s="12"/>
      <c r="S2134" s="12"/>
      <c r="X2134" s="12"/>
      <c r="AM2134" s="12"/>
    </row>
    <row r="2135" spans="9:39" x14ac:dyDescent="0.3">
      <c r="I2135" s="12"/>
      <c r="N2135" s="12"/>
      <c r="S2135" s="12"/>
      <c r="X2135" s="12"/>
      <c r="AM2135" s="12"/>
    </row>
    <row r="2136" spans="9:39" x14ac:dyDescent="0.3">
      <c r="I2136" s="12"/>
      <c r="N2136" s="12"/>
      <c r="S2136" s="12"/>
      <c r="X2136" s="12"/>
      <c r="AM2136" s="12"/>
    </row>
    <row r="2137" spans="9:39" x14ac:dyDescent="0.3">
      <c r="I2137" s="12"/>
      <c r="N2137" s="12"/>
      <c r="S2137" s="12"/>
      <c r="X2137" s="12"/>
      <c r="AM2137" s="12"/>
    </row>
    <row r="2138" spans="9:39" x14ac:dyDescent="0.3">
      <c r="I2138" s="12"/>
      <c r="N2138" s="12"/>
      <c r="S2138" s="12"/>
      <c r="X2138" s="12"/>
      <c r="AM2138" s="12"/>
    </row>
    <row r="2139" spans="9:39" x14ac:dyDescent="0.3">
      <c r="I2139" s="12"/>
      <c r="N2139" s="12"/>
      <c r="S2139" s="12"/>
      <c r="X2139" s="12"/>
      <c r="AM2139" s="12"/>
    </row>
    <row r="2140" spans="9:39" x14ac:dyDescent="0.3">
      <c r="I2140" s="12"/>
      <c r="N2140" s="12"/>
      <c r="S2140" s="12"/>
      <c r="X2140" s="12"/>
      <c r="AM2140" s="12"/>
    </row>
    <row r="2141" spans="9:39" x14ac:dyDescent="0.3">
      <c r="I2141" s="12"/>
      <c r="N2141" s="12"/>
      <c r="S2141" s="12"/>
      <c r="X2141" s="12"/>
      <c r="AM2141" s="12"/>
    </row>
    <row r="2142" spans="9:39" x14ac:dyDescent="0.3">
      <c r="I2142" s="12"/>
      <c r="N2142" s="12"/>
      <c r="S2142" s="12"/>
      <c r="X2142" s="12"/>
      <c r="AM2142" s="12"/>
    </row>
    <row r="2143" spans="9:39" x14ac:dyDescent="0.3">
      <c r="I2143" s="12"/>
      <c r="N2143" s="12"/>
      <c r="S2143" s="12"/>
      <c r="X2143" s="12"/>
      <c r="AM2143" s="12"/>
    </row>
    <row r="2144" spans="9:39" x14ac:dyDescent="0.3">
      <c r="I2144" s="12"/>
      <c r="N2144" s="12"/>
      <c r="S2144" s="12"/>
      <c r="X2144" s="12"/>
      <c r="AM2144" s="12"/>
    </row>
    <row r="2145" spans="9:39" x14ac:dyDescent="0.3">
      <c r="I2145" s="12"/>
      <c r="N2145" s="12"/>
      <c r="S2145" s="12"/>
      <c r="X2145" s="12"/>
      <c r="AM2145" s="12"/>
    </row>
    <row r="2146" spans="9:39" x14ac:dyDescent="0.3">
      <c r="I2146" s="12"/>
      <c r="N2146" s="12"/>
      <c r="S2146" s="12"/>
      <c r="X2146" s="12"/>
      <c r="AM2146" s="12"/>
    </row>
    <row r="2147" spans="9:39" x14ac:dyDescent="0.3">
      <c r="I2147" s="12"/>
      <c r="N2147" s="12"/>
      <c r="S2147" s="12"/>
      <c r="X2147" s="12"/>
      <c r="AM2147" s="12"/>
    </row>
    <row r="2148" spans="9:39" x14ac:dyDescent="0.3">
      <c r="I2148" s="12"/>
      <c r="N2148" s="12"/>
      <c r="S2148" s="12"/>
      <c r="X2148" s="12"/>
      <c r="AM2148" s="12"/>
    </row>
    <row r="2149" spans="9:39" x14ac:dyDescent="0.3">
      <c r="I2149" s="12"/>
      <c r="N2149" s="12"/>
      <c r="S2149" s="12"/>
      <c r="X2149" s="12"/>
      <c r="AM2149" s="12"/>
    </row>
    <row r="2150" spans="9:39" x14ac:dyDescent="0.3">
      <c r="I2150" s="12"/>
      <c r="N2150" s="12"/>
      <c r="S2150" s="12"/>
      <c r="X2150" s="12"/>
      <c r="AM2150" s="12"/>
    </row>
    <row r="2151" spans="9:39" x14ac:dyDescent="0.3">
      <c r="I2151" s="12"/>
      <c r="N2151" s="12"/>
      <c r="S2151" s="12"/>
      <c r="X2151" s="12"/>
      <c r="AM2151" s="12"/>
    </row>
    <row r="2152" spans="9:39" x14ac:dyDescent="0.3">
      <c r="I2152" s="12"/>
      <c r="N2152" s="12"/>
      <c r="S2152" s="12"/>
      <c r="X2152" s="12"/>
      <c r="AM2152" s="12"/>
    </row>
    <row r="2153" spans="9:39" x14ac:dyDescent="0.3">
      <c r="I2153" s="12"/>
      <c r="N2153" s="12"/>
      <c r="S2153" s="12"/>
      <c r="X2153" s="12"/>
      <c r="AM2153" s="12"/>
    </row>
    <row r="2154" spans="9:39" x14ac:dyDescent="0.3">
      <c r="I2154" s="12"/>
      <c r="N2154" s="12"/>
      <c r="S2154" s="12"/>
      <c r="X2154" s="12"/>
      <c r="AM2154" s="12"/>
    </row>
    <row r="2155" spans="9:39" x14ac:dyDescent="0.3">
      <c r="I2155" s="12"/>
      <c r="N2155" s="12"/>
      <c r="S2155" s="12"/>
      <c r="X2155" s="12"/>
      <c r="AM2155" s="12"/>
    </row>
    <row r="2156" spans="9:39" x14ac:dyDescent="0.3">
      <c r="I2156" s="12"/>
      <c r="N2156" s="12"/>
      <c r="S2156" s="12"/>
      <c r="X2156" s="12"/>
      <c r="AM2156" s="12"/>
    </row>
    <row r="2157" spans="9:39" x14ac:dyDescent="0.3">
      <c r="I2157" s="12"/>
      <c r="N2157" s="12"/>
      <c r="S2157" s="12"/>
      <c r="X2157" s="12"/>
      <c r="AM2157" s="12"/>
    </row>
    <row r="2158" spans="9:39" x14ac:dyDescent="0.3">
      <c r="I2158" s="12"/>
      <c r="N2158" s="12"/>
      <c r="S2158" s="12"/>
      <c r="X2158" s="12"/>
      <c r="AM2158" s="12"/>
    </row>
    <row r="2159" spans="9:39" x14ac:dyDescent="0.3">
      <c r="I2159" s="12"/>
      <c r="N2159" s="12"/>
      <c r="S2159" s="12"/>
      <c r="X2159" s="12"/>
      <c r="AM2159" s="12"/>
    </row>
    <row r="2160" spans="9:39" x14ac:dyDescent="0.3">
      <c r="I2160" s="12"/>
      <c r="N2160" s="12"/>
      <c r="S2160" s="12"/>
      <c r="X2160" s="12"/>
      <c r="AM2160" s="12"/>
    </row>
    <row r="2161" spans="9:39" x14ac:dyDescent="0.3">
      <c r="I2161" s="12"/>
      <c r="N2161" s="12"/>
      <c r="S2161" s="12"/>
      <c r="X2161" s="12"/>
      <c r="AM2161" s="12"/>
    </row>
    <row r="2162" spans="9:39" x14ac:dyDescent="0.3">
      <c r="I2162" s="12"/>
      <c r="N2162" s="12"/>
      <c r="S2162" s="12"/>
      <c r="X2162" s="12"/>
      <c r="AM2162" s="12"/>
    </row>
    <row r="2163" spans="9:39" x14ac:dyDescent="0.3">
      <c r="I2163" s="12"/>
      <c r="N2163" s="12"/>
      <c r="S2163" s="12"/>
      <c r="X2163" s="12"/>
      <c r="AM2163" s="12"/>
    </row>
    <row r="2164" spans="9:39" x14ac:dyDescent="0.3">
      <c r="I2164" s="12"/>
      <c r="N2164" s="12"/>
      <c r="S2164" s="12"/>
      <c r="X2164" s="12"/>
      <c r="AM2164" s="12"/>
    </row>
    <row r="2165" spans="9:39" x14ac:dyDescent="0.3">
      <c r="I2165" s="12"/>
      <c r="N2165" s="12"/>
      <c r="S2165" s="12"/>
      <c r="X2165" s="12"/>
      <c r="AM2165" s="12"/>
    </row>
    <row r="2166" spans="9:39" x14ac:dyDescent="0.3">
      <c r="I2166" s="12"/>
      <c r="N2166" s="12"/>
      <c r="S2166" s="12"/>
      <c r="X2166" s="12"/>
      <c r="AM2166" s="12"/>
    </row>
    <row r="2167" spans="9:39" x14ac:dyDescent="0.3">
      <c r="I2167" s="12"/>
      <c r="N2167" s="12"/>
      <c r="S2167" s="12"/>
      <c r="X2167" s="12"/>
      <c r="AM2167" s="12"/>
    </row>
    <row r="2168" spans="9:39" x14ac:dyDescent="0.3">
      <c r="I2168" s="12"/>
      <c r="N2168" s="12"/>
      <c r="S2168" s="12"/>
      <c r="X2168" s="12"/>
      <c r="AM2168" s="12"/>
    </row>
    <row r="2169" spans="9:39" x14ac:dyDescent="0.3">
      <c r="I2169" s="12"/>
      <c r="N2169" s="12"/>
      <c r="S2169" s="12"/>
      <c r="X2169" s="12"/>
      <c r="AM2169" s="12"/>
    </row>
    <row r="2170" spans="9:39" x14ac:dyDescent="0.3">
      <c r="I2170" s="12"/>
      <c r="N2170" s="12"/>
      <c r="S2170" s="12"/>
      <c r="X2170" s="12"/>
      <c r="AM2170" s="12"/>
    </row>
    <row r="2171" spans="9:39" x14ac:dyDescent="0.3">
      <c r="I2171" s="12"/>
      <c r="N2171" s="12"/>
      <c r="S2171" s="12"/>
      <c r="X2171" s="12"/>
      <c r="AM2171" s="12"/>
    </row>
    <row r="2172" spans="9:39" x14ac:dyDescent="0.3">
      <c r="I2172" s="12"/>
      <c r="N2172" s="12"/>
      <c r="S2172" s="12"/>
      <c r="X2172" s="12"/>
      <c r="AM2172" s="12"/>
    </row>
    <row r="2173" spans="9:39" x14ac:dyDescent="0.3">
      <c r="I2173" s="12"/>
      <c r="N2173" s="12"/>
      <c r="S2173" s="12"/>
      <c r="X2173" s="12"/>
      <c r="AM2173" s="12"/>
    </row>
    <row r="2174" spans="9:39" x14ac:dyDescent="0.3">
      <c r="I2174" s="12"/>
      <c r="N2174" s="12"/>
      <c r="S2174" s="12"/>
      <c r="X2174" s="12"/>
      <c r="AM2174" s="12"/>
    </row>
    <row r="2175" spans="9:39" x14ac:dyDescent="0.3">
      <c r="I2175" s="12"/>
      <c r="N2175" s="12"/>
      <c r="S2175" s="12"/>
      <c r="X2175" s="12"/>
      <c r="AM2175" s="12"/>
    </row>
    <row r="2176" spans="9:39" x14ac:dyDescent="0.3">
      <c r="I2176" s="12"/>
      <c r="N2176" s="12"/>
      <c r="S2176" s="12"/>
      <c r="X2176" s="12"/>
      <c r="AM2176" s="12"/>
    </row>
    <row r="2177" spans="9:39" x14ac:dyDescent="0.3">
      <c r="I2177" s="12"/>
      <c r="N2177" s="12"/>
      <c r="S2177" s="12"/>
      <c r="X2177" s="12"/>
      <c r="AM2177" s="12"/>
    </row>
    <row r="2178" spans="9:39" x14ac:dyDescent="0.3">
      <c r="I2178" s="12"/>
      <c r="N2178" s="12"/>
      <c r="S2178" s="12"/>
      <c r="X2178" s="12"/>
      <c r="AM2178" s="12"/>
    </row>
    <row r="2179" spans="9:39" x14ac:dyDescent="0.3">
      <c r="I2179" s="12"/>
      <c r="N2179" s="12"/>
      <c r="S2179" s="12"/>
      <c r="X2179" s="12"/>
      <c r="AM2179" s="12"/>
    </row>
    <row r="2180" spans="9:39" x14ac:dyDescent="0.3">
      <c r="I2180" s="12"/>
      <c r="N2180" s="12"/>
      <c r="S2180" s="12"/>
      <c r="X2180" s="12"/>
      <c r="AM2180" s="12"/>
    </row>
    <row r="2181" spans="9:39" x14ac:dyDescent="0.3">
      <c r="I2181" s="12"/>
      <c r="N2181" s="12"/>
      <c r="S2181" s="12"/>
      <c r="X2181" s="12"/>
      <c r="AM2181" s="12"/>
    </row>
    <row r="2182" spans="9:39" x14ac:dyDescent="0.3">
      <c r="I2182" s="12"/>
      <c r="N2182" s="12"/>
      <c r="S2182" s="12"/>
      <c r="X2182" s="12"/>
      <c r="AM2182" s="12"/>
    </row>
    <row r="2183" spans="9:39" x14ac:dyDescent="0.3">
      <c r="I2183" s="12"/>
      <c r="N2183" s="12"/>
      <c r="S2183" s="12"/>
      <c r="X2183" s="12"/>
      <c r="AM2183" s="12"/>
    </row>
    <row r="2184" spans="9:39" x14ac:dyDescent="0.3">
      <c r="I2184" s="12"/>
      <c r="N2184" s="12"/>
      <c r="S2184" s="12"/>
      <c r="X2184" s="12"/>
      <c r="AM2184" s="12"/>
    </row>
    <row r="2185" spans="9:39" x14ac:dyDescent="0.3">
      <c r="I2185" s="12"/>
      <c r="N2185" s="12"/>
      <c r="S2185" s="12"/>
      <c r="X2185" s="12"/>
      <c r="AM2185" s="12"/>
    </row>
    <row r="2186" spans="9:39" x14ac:dyDescent="0.3">
      <c r="I2186" s="12"/>
      <c r="N2186" s="12"/>
      <c r="S2186" s="12"/>
      <c r="X2186" s="12"/>
      <c r="AM2186" s="12"/>
    </row>
    <row r="2187" spans="9:39" x14ac:dyDescent="0.3">
      <c r="I2187" s="12"/>
      <c r="N2187" s="12"/>
      <c r="S2187" s="12"/>
      <c r="X2187" s="12"/>
      <c r="AM2187" s="12"/>
    </row>
    <row r="2188" spans="9:39" x14ac:dyDescent="0.3">
      <c r="I2188" s="12"/>
      <c r="N2188" s="12"/>
      <c r="S2188" s="12"/>
      <c r="X2188" s="12"/>
      <c r="AM2188" s="12"/>
    </row>
    <row r="2189" spans="9:39" x14ac:dyDescent="0.3">
      <c r="I2189" s="12"/>
      <c r="N2189" s="12"/>
      <c r="S2189" s="12"/>
      <c r="X2189" s="12"/>
      <c r="AM2189" s="12"/>
    </row>
    <row r="2190" spans="9:39" x14ac:dyDescent="0.3">
      <c r="I2190" s="12"/>
      <c r="N2190" s="12"/>
      <c r="S2190" s="12"/>
      <c r="X2190" s="12"/>
      <c r="AM2190" s="12"/>
    </row>
    <row r="2191" spans="9:39" x14ac:dyDescent="0.3">
      <c r="I2191" s="12"/>
      <c r="N2191" s="12"/>
      <c r="S2191" s="12"/>
      <c r="X2191" s="12"/>
      <c r="AM2191" s="12"/>
    </row>
    <row r="2192" spans="9:39" x14ac:dyDescent="0.3">
      <c r="I2192" s="12"/>
      <c r="N2192" s="12"/>
      <c r="S2192" s="12"/>
      <c r="X2192" s="12"/>
      <c r="AM2192" s="12"/>
    </row>
    <row r="2193" spans="9:39" x14ac:dyDescent="0.3">
      <c r="I2193" s="12"/>
      <c r="N2193" s="12"/>
      <c r="S2193" s="12"/>
      <c r="X2193" s="12"/>
      <c r="AM2193" s="12"/>
    </row>
    <row r="2194" spans="9:39" x14ac:dyDescent="0.3">
      <c r="I2194" s="12"/>
      <c r="N2194" s="12"/>
      <c r="S2194" s="12"/>
      <c r="X2194" s="12"/>
      <c r="AM2194" s="12"/>
    </row>
    <row r="2195" spans="9:39" x14ac:dyDescent="0.3">
      <c r="I2195" s="12"/>
      <c r="N2195" s="12"/>
      <c r="S2195" s="12"/>
      <c r="X2195" s="12"/>
      <c r="AM2195" s="12"/>
    </row>
    <row r="2196" spans="9:39" x14ac:dyDescent="0.3">
      <c r="I2196" s="12"/>
      <c r="N2196" s="12"/>
      <c r="S2196" s="12"/>
      <c r="X2196" s="12"/>
      <c r="AM2196" s="12"/>
    </row>
    <row r="2197" spans="9:39" x14ac:dyDescent="0.3">
      <c r="I2197" s="12"/>
      <c r="N2197" s="12"/>
      <c r="S2197" s="12"/>
      <c r="X2197" s="12"/>
      <c r="AM2197" s="12"/>
    </row>
    <row r="2198" spans="9:39" x14ac:dyDescent="0.3">
      <c r="I2198" s="12"/>
      <c r="N2198" s="12"/>
      <c r="S2198" s="12"/>
      <c r="X2198" s="12"/>
      <c r="AM2198" s="12"/>
    </row>
    <row r="2199" spans="9:39" x14ac:dyDescent="0.3">
      <c r="I2199" s="12"/>
      <c r="N2199" s="12"/>
      <c r="S2199" s="12"/>
      <c r="X2199" s="12"/>
      <c r="AM2199" s="12"/>
    </row>
    <row r="2200" spans="9:39" x14ac:dyDescent="0.3">
      <c r="I2200" s="12"/>
      <c r="N2200" s="12"/>
      <c r="S2200" s="12"/>
      <c r="X2200" s="12"/>
      <c r="AM2200" s="12"/>
    </row>
    <row r="2201" spans="9:39" x14ac:dyDescent="0.3">
      <c r="I2201" s="12"/>
      <c r="N2201" s="12"/>
      <c r="S2201" s="12"/>
      <c r="X2201" s="12"/>
      <c r="AM2201" s="12"/>
    </row>
    <row r="2202" spans="9:39" x14ac:dyDescent="0.3">
      <c r="I2202" s="12"/>
      <c r="N2202" s="12"/>
      <c r="S2202" s="12"/>
      <c r="X2202" s="12"/>
      <c r="AM2202" s="12"/>
    </row>
    <row r="2203" spans="9:39" x14ac:dyDescent="0.3">
      <c r="I2203" s="12"/>
      <c r="N2203" s="12"/>
      <c r="S2203" s="12"/>
      <c r="X2203" s="12"/>
      <c r="AM2203" s="12"/>
    </row>
    <row r="2204" spans="9:39" x14ac:dyDescent="0.3">
      <c r="I2204" s="12"/>
      <c r="N2204" s="12"/>
      <c r="S2204" s="12"/>
      <c r="X2204" s="12"/>
      <c r="AM2204" s="12"/>
    </row>
    <row r="2205" spans="9:39" x14ac:dyDescent="0.3">
      <c r="I2205" s="12"/>
      <c r="N2205" s="12"/>
      <c r="S2205" s="12"/>
      <c r="X2205" s="12"/>
      <c r="AM2205" s="12"/>
    </row>
    <row r="2206" spans="9:39" x14ac:dyDescent="0.3">
      <c r="I2206" s="12"/>
      <c r="N2206" s="12"/>
      <c r="S2206" s="12"/>
      <c r="X2206" s="12"/>
      <c r="AM2206" s="12"/>
    </row>
    <row r="2207" spans="9:39" x14ac:dyDescent="0.3">
      <c r="I2207" s="12"/>
      <c r="N2207" s="12"/>
      <c r="S2207" s="12"/>
      <c r="X2207" s="12"/>
      <c r="AM2207" s="12"/>
    </row>
    <row r="2208" spans="9:39" x14ac:dyDescent="0.3">
      <c r="I2208" s="12"/>
      <c r="N2208" s="12"/>
      <c r="S2208" s="12"/>
      <c r="X2208" s="12"/>
      <c r="AM2208" s="12"/>
    </row>
    <row r="2209" spans="9:39" x14ac:dyDescent="0.3">
      <c r="I2209" s="12"/>
      <c r="N2209" s="12"/>
      <c r="S2209" s="12"/>
      <c r="X2209" s="12"/>
      <c r="AM2209" s="12"/>
    </row>
    <row r="2210" spans="9:39" x14ac:dyDescent="0.3">
      <c r="I2210" s="12"/>
      <c r="N2210" s="12"/>
      <c r="S2210" s="12"/>
      <c r="X2210" s="12"/>
      <c r="AM2210" s="12"/>
    </row>
    <row r="2211" spans="9:39" x14ac:dyDescent="0.3">
      <c r="I2211" s="12"/>
      <c r="N2211" s="12"/>
      <c r="S2211" s="12"/>
      <c r="X2211" s="12"/>
      <c r="AM2211" s="12"/>
    </row>
    <row r="2212" spans="9:39" x14ac:dyDescent="0.3">
      <c r="I2212" s="12"/>
      <c r="N2212" s="12"/>
      <c r="S2212" s="12"/>
      <c r="X2212" s="12"/>
      <c r="AM2212" s="12"/>
    </row>
    <row r="2213" spans="9:39" x14ac:dyDescent="0.3">
      <c r="I2213" s="12"/>
      <c r="N2213" s="12"/>
      <c r="S2213" s="12"/>
      <c r="X2213" s="12"/>
      <c r="AM2213" s="12"/>
    </row>
    <row r="2214" spans="9:39" x14ac:dyDescent="0.3">
      <c r="I2214" s="12"/>
      <c r="N2214" s="12"/>
      <c r="S2214" s="12"/>
      <c r="X2214" s="12"/>
      <c r="AM2214" s="12"/>
    </row>
    <row r="2215" spans="9:39" x14ac:dyDescent="0.3">
      <c r="I2215" s="12"/>
      <c r="N2215" s="12"/>
      <c r="S2215" s="12"/>
      <c r="X2215" s="12"/>
      <c r="AM2215" s="12"/>
    </row>
    <row r="2216" spans="9:39" x14ac:dyDescent="0.3">
      <c r="I2216" s="12"/>
      <c r="N2216" s="12"/>
      <c r="S2216" s="12"/>
      <c r="X2216" s="12"/>
      <c r="AM2216" s="12"/>
    </row>
    <row r="2217" spans="9:39" x14ac:dyDescent="0.3">
      <c r="I2217" s="12"/>
      <c r="N2217" s="12"/>
      <c r="S2217" s="12"/>
      <c r="X2217" s="12"/>
      <c r="AM2217" s="12"/>
    </row>
    <row r="2218" spans="9:39" x14ac:dyDescent="0.3">
      <c r="I2218" s="12"/>
      <c r="N2218" s="12"/>
      <c r="S2218" s="12"/>
      <c r="X2218" s="12"/>
      <c r="AM2218" s="12"/>
    </row>
    <row r="2219" spans="9:39" x14ac:dyDescent="0.3">
      <c r="I2219" s="12"/>
      <c r="N2219" s="12"/>
      <c r="S2219" s="12"/>
      <c r="X2219" s="12"/>
      <c r="AM2219" s="12"/>
    </row>
    <row r="2220" spans="9:39" x14ac:dyDescent="0.3">
      <c r="I2220" s="12"/>
      <c r="N2220" s="12"/>
      <c r="S2220" s="12"/>
      <c r="X2220" s="12"/>
      <c r="AM2220" s="12"/>
    </row>
    <row r="2221" spans="9:39" x14ac:dyDescent="0.3">
      <c r="I2221" s="12"/>
      <c r="N2221" s="12"/>
      <c r="S2221" s="12"/>
      <c r="X2221" s="12"/>
      <c r="AM2221" s="12"/>
    </row>
    <row r="2222" spans="9:39" x14ac:dyDescent="0.3">
      <c r="I2222" s="12"/>
      <c r="N2222" s="12"/>
      <c r="S2222" s="12"/>
      <c r="X2222" s="12"/>
      <c r="AM2222" s="12"/>
    </row>
    <row r="2223" spans="9:39" x14ac:dyDescent="0.3">
      <c r="I2223" s="12"/>
      <c r="N2223" s="12"/>
      <c r="S2223" s="12"/>
      <c r="X2223" s="12"/>
      <c r="AM2223" s="12"/>
    </row>
    <row r="2224" spans="9:39" x14ac:dyDescent="0.3">
      <c r="I2224" s="12"/>
      <c r="N2224" s="12"/>
      <c r="S2224" s="12"/>
      <c r="X2224" s="12"/>
      <c r="AM2224" s="12"/>
    </row>
    <row r="2225" spans="9:39" x14ac:dyDescent="0.3">
      <c r="I2225" s="12"/>
      <c r="N2225" s="12"/>
      <c r="S2225" s="12"/>
      <c r="X2225" s="12"/>
      <c r="AM2225" s="12"/>
    </row>
    <row r="2226" spans="9:39" x14ac:dyDescent="0.3">
      <c r="I2226" s="12"/>
      <c r="N2226" s="12"/>
      <c r="S2226" s="12"/>
      <c r="X2226" s="12"/>
      <c r="AM2226" s="12"/>
    </row>
    <row r="2227" spans="9:39" x14ac:dyDescent="0.3">
      <c r="I2227" s="12"/>
      <c r="N2227" s="12"/>
      <c r="S2227" s="12"/>
      <c r="X2227" s="12"/>
      <c r="AM2227" s="12"/>
    </row>
    <row r="2228" spans="9:39" x14ac:dyDescent="0.3">
      <c r="I2228" s="12"/>
      <c r="N2228" s="12"/>
      <c r="S2228" s="12"/>
      <c r="X2228" s="12"/>
      <c r="AM2228" s="12"/>
    </row>
    <row r="2229" spans="9:39" x14ac:dyDescent="0.3">
      <c r="I2229" s="12"/>
      <c r="N2229" s="12"/>
      <c r="S2229" s="12"/>
      <c r="X2229" s="12"/>
      <c r="AM2229" s="12"/>
    </row>
    <row r="2230" spans="9:39" x14ac:dyDescent="0.3">
      <c r="I2230" s="12"/>
      <c r="N2230" s="12"/>
      <c r="S2230" s="12"/>
      <c r="X2230" s="12"/>
      <c r="AM2230" s="12"/>
    </row>
    <row r="2231" spans="9:39" x14ac:dyDescent="0.3">
      <c r="I2231" s="12"/>
      <c r="N2231" s="12"/>
      <c r="S2231" s="12"/>
      <c r="X2231" s="12"/>
      <c r="AM2231" s="12"/>
    </row>
    <row r="2232" spans="9:39" x14ac:dyDescent="0.3">
      <c r="I2232" s="12"/>
      <c r="N2232" s="12"/>
      <c r="S2232" s="12"/>
      <c r="X2232" s="12"/>
      <c r="AM2232" s="12"/>
    </row>
    <row r="2233" spans="9:39" x14ac:dyDescent="0.3">
      <c r="I2233" s="12"/>
      <c r="N2233" s="12"/>
      <c r="S2233" s="12"/>
      <c r="X2233" s="12"/>
      <c r="AM2233" s="12"/>
    </row>
    <row r="2234" spans="9:39" x14ac:dyDescent="0.3">
      <c r="I2234" s="12"/>
      <c r="N2234" s="12"/>
      <c r="S2234" s="12"/>
      <c r="X2234" s="12"/>
      <c r="AM2234" s="12"/>
    </row>
    <row r="2235" spans="9:39" x14ac:dyDescent="0.3">
      <c r="I2235" s="12"/>
      <c r="N2235" s="12"/>
      <c r="S2235" s="12"/>
      <c r="X2235" s="12"/>
      <c r="AM2235" s="12"/>
    </row>
    <row r="2236" spans="9:39" x14ac:dyDescent="0.3">
      <c r="I2236" s="12"/>
      <c r="N2236" s="12"/>
      <c r="S2236" s="12"/>
      <c r="X2236" s="12"/>
      <c r="AM2236" s="12"/>
    </row>
    <row r="2237" spans="9:39" x14ac:dyDescent="0.3">
      <c r="I2237" s="12"/>
      <c r="N2237" s="12"/>
      <c r="S2237" s="12"/>
      <c r="X2237" s="12"/>
      <c r="AM2237" s="12"/>
    </row>
    <row r="2238" spans="9:39" x14ac:dyDescent="0.3">
      <c r="I2238" s="12"/>
      <c r="N2238" s="12"/>
      <c r="S2238" s="12"/>
      <c r="X2238" s="12"/>
      <c r="AM2238" s="12"/>
    </row>
    <row r="2239" spans="9:39" x14ac:dyDescent="0.3">
      <c r="I2239" s="12"/>
      <c r="N2239" s="12"/>
      <c r="S2239" s="12"/>
      <c r="X2239" s="12"/>
      <c r="AM2239" s="12"/>
    </row>
    <row r="2240" spans="9:39" x14ac:dyDescent="0.3">
      <c r="I2240" s="12"/>
      <c r="N2240" s="12"/>
      <c r="S2240" s="12"/>
      <c r="X2240" s="12"/>
      <c r="AM2240" s="12"/>
    </row>
    <row r="2241" spans="9:39" x14ac:dyDescent="0.3">
      <c r="I2241" s="12"/>
      <c r="N2241" s="12"/>
      <c r="S2241" s="12"/>
      <c r="X2241" s="12"/>
      <c r="AM2241" s="12"/>
    </row>
    <row r="2242" spans="9:39" x14ac:dyDescent="0.3">
      <c r="I2242" s="12"/>
      <c r="N2242" s="12"/>
      <c r="S2242" s="12"/>
      <c r="X2242" s="12"/>
      <c r="AM2242" s="12"/>
    </row>
    <row r="2243" spans="9:39" x14ac:dyDescent="0.3">
      <c r="I2243" s="12"/>
      <c r="N2243" s="12"/>
      <c r="S2243" s="12"/>
      <c r="X2243" s="12"/>
      <c r="AM2243" s="12"/>
    </row>
    <row r="2244" spans="9:39" x14ac:dyDescent="0.3">
      <c r="I2244" s="12"/>
      <c r="N2244" s="12"/>
      <c r="S2244" s="12"/>
      <c r="X2244" s="12"/>
      <c r="AM2244" s="12"/>
    </row>
    <row r="2245" spans="9:39" x14ac:dyDescent="0.3">
      <c r="I2245" s="12"/>
      <c r="N2245" s="12"/>
      <c r="S2245" s="12"/>
      <c r="X2245" s="12"/>
      <c r="AM2245" s="12"/>
    </row>
    <row r="2246" spans="9:39" x14ac:dyDescent="0.3">
      <c r="I2246" s="12"/>
      <c r="N2246" s="12"/>
      <c r="S2246" s="12"/>
      <c r="X2246" s="12"/>
      <c r="AM2246" s="12"/>
    </row>
    <row r="2247" spans="9:39" x14ac:dyDescent="0.3">
      <c r="I2247" s="12"/>
      <c r="N2247" s="12"/>
      <c r="S2247" s="12"/>
      <c r="X2247" s="12"/>
      <c r="AM2247" s="12"/>
    </row>
    <row r="2248" spans="9:39" x14ac:dyDescent="0.3">
      <c r="I2248" s="12"/>
      <c r="N2248" s="12"/>
      <c r="S2248" s="12"/>
      <c r="X2248" s="12"/>
      <c r="AM2248" s="12"/>
    </row>
    <row r="2249" spans="9:39" x14ac:dyDescent="0.3">
      <c r="I2249" s="12"/>
      <c r="N2249" s="12"/>
      <c r="S2249" s="12"/>
      <c r="X2249" s="12"/>
      <c r="AM2249" s="12"/>
    </row>
    <row r="2250" spans="9:39" x14ac:dyDescent="0.3">
      <c r="I2250" s="12"/>
      <c r="N2250" s="12"/>
      <c r="S2250" s="12"/>
      <c r="X2250" s="12"/>
      <c r="AM2250" s="12"/>
    </row>
    <row r="2251" spans="9:39" x14ac:dyDescent="0.3">
      <c r="I2251" s="12"/>
      <c r="N2251" s="12"/>
      <c r="S2251" s="12"/>
      <c r="X2251" s="12"/>
      <c r="AM2251" s="12"/>
    </row>
    <row r="2252" spans="9:39" x14ac:dyDescent="0.3">
      <c r="I2252" s="12"/>
      <c r="N2252" s="12"/>
      <c r="S2252" s="12"/>
      <c r="X2252" s="12"/>
      <c r="AM2252" s="12"/>
    </row>
    <row r="2253" spans="9:39" x14ac:dyDescent="0.3">
      <c r="I2253" s="12"/>
      <c r="N2253" s="12"/>
      <c r="S2253" s="12"/>
      <c r="X2253" s="12"/>
      <c r="AM2253" s="12"/>
    </row>
    <row r="2254" spans="9:39" x14ac:dyDescent="0.3">
      <c r="I2254" s="12"/>
      <c r="N2254" s="12"/>
      <c r="S2254" s="12"/>
      <c r="X2254" s="12"/>
      <c r="AM2254" s="12"/>
    </row>
    <row r="2255" spans="9:39" x14ac:dyDescent="0.3">
      <c r="I2255" s="12"/>
      <c r="N2255" s="12"/>
      <c r="S2255" s="12"/>
      <c r="X2255" s="12"/>
      <c r="AM2255" s="12"/>
    </row>
    <row r="2256" spans="9:39" x14ac:dyDescent="0.3">
      <c r="I2256" s="12"/>
      <c r="N2256" s="12"/>
      <c r="S2256" s="12"/>
      <c r="X2256" s="12"/>
      <c r="AM2256" s="12"/>
    </row>
    <row r="2257" spans="9:39" x14ac:dyDescent="0.3">
      <c r="I2257" s="12"/>
      <c r="N2257" s="12"/>
      <c r="S2257" s="12"/>
      <c r="X2257" s="12"/>
      <c r="AM2257" s="12"/>
    </row>
    <row r="2258" spans="9:39" x14ac:dyDescent="0.3">
      <c r="I2258" s="12"/>
      <c r="N2258" s="12"/>
      <c r="S2258" s="12"/>
      <c r="X2258" s="12"/>
      <c r="AM2258" s="12"/>
    </row>
    <row r="2259" spans="9:39" x14ac:dyDescent="0.3">
      <c r="I2259" s="12"/>
      <c r="N2259" s="12"/>
      <c r="S2259" s="12"/>
      <c r="X2259" s="12"/>
      <c r="AM2259" s="12"/>
    </row>
    <row r="2260" spans="9:39" x14ac:dyDescent="0.3">
      <c r="I2260" s="12"/>
      <c r="N2260" s="12"/>
      <c r="S2260" s="12"/>
      <c r="X2260" s="12"/>
      <c r="AM2260" s="12"/>
    </row>
    <row r="2261" spans="9:39" x14ac:dyDescent="0.3">
      <c r="I2261" s="12"/>
      <c r="N2261" s="12"/>
      <c r="S2261" s="12"/>
      <c r="X2261" s="12"/>
      <c r="AM2261" s="12"/>
    </row>
    <row r="2262" spans="9:39" x14ac:dyDescent="0.3">
      <c r="I2262" s="12"/>
      <c r="N2262" s="12"/>
      <c r="S2262" s="12"/>
      <c r="X2262" s="12"/>
      <c r="AM2262" s="12"/>
    </row>
    <row r="2263" spans="9:39" x14ac:dyDescent="0.3">
      <c r="I2263" s="12"/>
      <c r="N2263" s="12"/>
      <c r="S2263" s="12"/>
      <c r="X2263" s="12"/>
      <c r="AM2263" s="12"/>
    </row>
    <row r="2264" spans="9:39" x14ac:dyDescent="0.3">
      <c r="I2264" s="12"/>
      <c r="N2264" s="12"/>
      <c r="S2264" s="12"/>
      <c r="X2264" s="12"/>
      <c r="AM2264" s="12"/>
    </row>
    <row r="2265" spans="9:39" x14ac:dyDescent="0.3">
      <c r="I2265" s="12"/>
      <c r="N2265" s="12"/>
      <c r="S2265" s="12"/>
      <c r="X2265" s="12"/>
      <c r="AM2265" s="12"/>
    </row>
    <row r="2266" spans="9:39" x14ac:dyDescent="0.3">
      <c r="I2266" s="12"/>
      <c r="N2266" s="12"/>
      <c r="S2266" s="12"/>
      <c r="X2266" s="12"/>
      <c r="AM2266" s="12"/>
    </row>
    <row r="2267" spans="9:39" x14ac:dyDescent="0.3">
      <c r="I2267" s="12"/>
      <c r="N2267" s="12"/>
      <c r="S2267" s="12"/>
      <c r="X2267" s="12"/>
      <c r="AM2267" s="12"/>
    </row>
    <row r="2268" spans="9:39" x14ac:dyDescent="0.3">
      <c r="I2268" s="12"/>
      <c r="N2268" s="12"/>
      <c r="S2268" s="12"/>
      <c r="X2268" s="12"/>
      <c r="AM2268" s="12"/>
    </row>
    <row r="2269" spans="9:39" x14ac:dyDescent="0.3">
      <c r="I2269" s="12"/>
      <c r="N2269" s="12"/>
      <c r="S2269" s="12"/>
      <c r="X2269" s="12"/>
      <c r="AM2269" s="12"/>
    </row>
    <row r="2270" spans="9:39" x14ac:dyDescent="0.3">
      <c r="I2270" s="12"/>
      <c r="N2270" s="12"/>
      <c r="S2270" s="12"/>
      <c r="X2270" s="12"/>
      <c r="AM2270" s="12"/>
    </row>
    <row r="2271" spans="9:39" x14ac:dyDescent="0.3">
      <c r="I2271" s="12"/>
      <c r="N2271" s="12"/>
      <c r="S2271" s="12"/>
      <c r="X2271" s="12"/>
      <c r="AM2271" s="12"/>
    </row>
    <row r="2272" spans="9:39" x14ac:dyDescent="0.3">
      <c r="I2272" s="12"/>
      <c r="N2272" s="12"/>
      <c r="S2272" s="12"/>
      <c r="X2272" s="12"/>
      <c r="AM2272" s="12"/>
    </row>
    <row r="2273" spans="9:39" x14ac:dyDescent="0.3">
      <c r="I2273" s="12"/>
      <c r="N2273" s="12"/>
      <c r="S2273" s="12"/>
      <c r="X2273" s="12"/>
      <c r="AM2273" s="12"/>
    </row>
    <row r="2274" spans="9:39" x14ac:dyDescent="0.3">
      <c r="I2274" s="12"/>
      <c r="N2274" s="12"/>
      <c r="S2274" s="12"/>
      <c r="X2274" s="12"/>
      <c r="AM2274" s="12"/>
    </row>
    <row r="2275" spans="9:39" x14ac:dyDescent="0.3">
      <c r="I2275" s="12"/>
      <c r="N2275" s="12"/>
      <c r="S2275" s="12"/>
      <c r="X2275" s="12"/>
      <c r="AM2275" s="12"/>
    </row>
    <row r="2276" spans="9:39" x14ac:dyDescent="0.3">
      <c r="I2276" s="12"/>
      <c r="N2276" s="12"/>
      <c r="S2276" s="12"/>
      <c r="X2276" s="12"/>
      <c r="AM2276" s="12"/>
    </row>
    <row r="2277" spans="9:39" x14ac:dyDescent="0.3">
      <c r="I2277" s="12"/>
      <c r="N2277" s="12"/>
      <c r="S2277" s="12"/>
      <c r="X2277" s="12"/>
      <c r="AM2277" s="12"/>
    </row>
    <row r="2278" spans="9:39" x14ac:dyDescent="0.3">
      <c r="I2278" s="12"/>
      <c r="N2278" s="12"/>
      <c r="S2278" s="12"/>
      <c r="X2278" s="12"/>
      <c r="AM2278" s="12"/>
    </row>
    <row r="2279" spans="9:39" x14ac:dyDescent="0.3">
      <c r="I2279" s="12"/>
      <c r="N2279" s="12"/>
      <c r="S2279" s="12"/>
      <c r="X2279" s="12"/>
      <c r="AM2279" s="12"/>
    </row>
    <row r="2280" spans="9:39" x14ac:dyDescent="0.3">
      <c r="I2280" s="12"/>
      <c r="N2280" s="12"/>
      <c r="S2280" s="12"/>
      <c r="X2280" s="12"/>
      <c r="AM2280" s="12"/>
    </row>
    <row r="2281" spans="9:39" x14ac:dyDescent="0.3">
      <c r="I2281" s="12"/>
      <c r="N2281" s="12"/>
      <c r="S2281" s="12"/>
      <c r="X2281" s="12"/>
      <c r="AM2281" s="12"/>
    </row>
    <row r="2282" spans="9:39" x14ac:dyDescent="0.3">
      <c r="I2282" s="12"/>
      <c r="N2282" s="12"/>
      <c r="S2282" s="12"/>
      <c r="X2282" s="12"/>
      <c r="AM2282" s="12"/>
    </row>
    <row r="2283" spans="9:39" x14ac:dyDescent="0.3">
      <c r="I2283" s="12"/>
      <c r="N2283" s="12"/>
      <c r="S2283" s="12"/>
      <c r="X2283" s="12"/>
      <c r="AM2283" s="12"/>
    </row>
    <row r="2284" spans="9:39" x14ac:dyDescent="0.3">
      <c r="I2284" s="12"/>
      <c r="N2284" s="12"/>
      <c r="S2284" s="12"/>
      <c r="X2284" s="12"/>
      <c r="AM2284" s="12"/>
    </row>
    <row r="2285" spans="9:39" x14ac:dyDescent="0.3">
      <c r="I2285" s="12"/>
      <c r="N2285" s="12"/>
      <c r="S2285" s="12"/>
      <c r="X2285" s="12"/>
      <c r="AM2285" s="12"/>
    </row>
    <row r="2286" spans="9:39" x14ac:dyDescent="0.3">
      <c r="I2286" s="12"/>
      <c r="N2286" s="12"/>
      <c r="S2286" s="12"/>
      <c r="X2286" s="12"/>
      <c r="AM2286" s="12"/>
    </row>
    <row r="2287" spans="9:39" x14ac:dyDescent="0.3">
      <c r="I2287" s="12"/>
      <c r="N2287" s="12"/>
      <c r="S2287" s="12"/>
      <c r="X2287" s="12"/>
      <c r="AM2287" s="12"/>
    </row>
    <row r="2288" spans="9:39" x14ac:dyDescent="0.3">
      <c r="I2288" s="12"/>
      <c r="N2288" s="12"/>
      <c r="S2288" s="12"/>
      <c r="X2288" s="12"/>
      <c r="AM2288" s="12"/>
    </row>
    <row r="2289" spans="9:39" x14ac:dyDescent="0.3">
      <c r="I2289" s="12"/>
      <c r="N2289" s="12"/>
      <c r="S2289" s="12"/>
      <c r="X2289" s="12"/>
      <c r="AM2289" s="12"/>
    </row>
    <row r="2290" spans="9:39" x14ac:dyDescent="0.3">
      <c r="I2290" s="12"/>
      <c r="N2290" s="12"/>
      <c r="S2290" s="12"/>
      <c r="X2290" s="12"/>
      <c r="AM2290" s="12"/>
    </row>
    <row r="2291" spans="9:39" x14ac:dyDescent="0.3">
      <c r="I2291" s="12"/>
      <c r="N2291" s="12"/>
      <c r="S2291" s="12"/>
      <c r="X2291" s="12"/>
      <c r="AM2291" s="12"/>
    </row>
    <row r="2292" spans="9:39" x14ac:dyDescent="0.3">
      <c r="I2292" s="12"/>
      <c r="N2292" s="12"/>
      <c r="S2292" s="12"/>
      <c r="X2292" s="12"/>
      <c r="AM2292" s="12"/>
    </row>
    <row r="2293" spans="9:39" x14ac:dyDescent="0.3">
      <c r="I2293" s="12"/>
      <c r="N2293" s="12"/>
      <c r="S2293" s="12"/>
      <c r="X2293" s="12"/>
      <c r="AM2293" s="12"/>
    </row>
    <row r="2294" spans="9:39" x14ac:dyDescent="0.3">
      <c r="I2294" s="12"/>
      <c r="N2294" s="12"/>
      <c r="S2294" s="12"/>
      <c r="X2294" s="12"/>
      <c r="AM2294" s="12"/>
    </row>
    <row r="2295" spans="9:39" x14ac:dyDescent="0.3">
      <c r="I2295" s="12"/>
      <c r="N2295" s="12"/>
      <c r="S2295" s="12"/>
      <c r="X2295" s="12"/>
      <c r="AM2295" s="12"/>
    </row>
    <row r="2296" spans="9:39" x14ac:dyDescent="0.3">
      <c r="I2296" s="12"/>
      <c r="N2296" s="12"/>
      <c r="S2296" s="12"/>
      <c r="X2296" s="12"/>
      <c r="AM2296" s="12"/>
    </row>
    <row r="2297" spans="9:39" x14ac:dyDescent="0.3">
      <c r="I2297" s="12"/>
      <c r="N2297" s="12"/>
      <c r="S2297" s="12"/>
      <c r="X2297" s="12"/>
      <c r="AM2297" s="12"/>
    </row>
    <row r="2298" spans="9:39" x14ac:dyDescent="0.3">
      <c r="I2298" s="12"/>
      <c r="N2298" s="12"/>
      <c r="S2298" s="12"/>
      <c r="X2298" s="12"/>
      <c r="AM2298" s="12"/>
    </row>
    <row r="2299" spans="9:39" x14ac:dyDescent="0.3">
      <c r="I2299" s="12"/>
      <c r="N2299" s="12"/>
      <c r="S2299" s="12"/>
      <c r="X2299" s="12"/>
      <c r="AM2299" s="12"/>
    </row>
    <row r="2300" spans="9:39" x14ac:dyDescent="0.3">
      <c r="I2300" s="12"/>
      <c r="N2300" s="12"/>
      <c r="S2300" s="12"/>
      <c r="X2300" s="12"/>
      <c r="AM2300" s="12"/>
    </row>
    <row r="2301" spans="9:39" x14ac:dyDescent="0.3">
      <c r="I2301" s="12"/>
      <c r="N2301" s="12"/>
      <c r="S2301" s="12"/>
      <c r="X2301" s="12"/>
      <c r="AM2301" s="12"/>
    </row>
    <row r="2302" spans="9:39" x14ac:dyDescent="0.3">
      <c r="I2302" s="12"/>
      <c r="N2302" s="12"/>
      <c r="S2302" s="12"/>
      <c r="X2302" s="12"/>
      <c r="AM2302" s="12"/>
    </row>
    <row r="2303" spans="9:39" x14ac:dyDescent="0.3">
      <c r="I2303" s="12"/>
      <c r="N2303" s="12"/>
      <c r="S2303" s="12"/>
      <c r="X2303" s="12"/>
      <c r="AM2303" s="12"/>
    </row>
    <row r="2304" spans="9:39" x14ac:dyDescent="0.3">
      <c r="I2304" s="12"/>
      <c r="N2304" s="12"/>
      <c r="S2304" s="12"/>
      <c r="X2304" s="12"/>
      <c r="AM2304" s="12"/>
    </row>
    <row r="2305" spans="9:39" x14ac:dyDescent="0.3">
      <c r="I2305" s="12"/>
      <c r="N2305" s="12"/>
      <c r="S2305" s="12"/>
      <c r="X2305" s="12"/>
      <c r="AM2305" s="12"/>
    </row>
    <row r="2306" spans="9:39" x14ac:dyDescent="0.3">
      <c r="I2306" s="12"/>
      <c r="N2306" s="12"/>
      <c r="S2306" s="12"/>
      <c r="X2306" s="12"/>
      <c r="AM2306" s="12"/>
    </row>
    <row r="2307" spans="9:39" x14ac:dyDescent="0.3">
      <c r="I2307" s="12"/>
      <c r="N2307" s="12"/>
      <c r="S2307" s="12"/>
      <c r="X2307" s="12"/>
      <c r="AM2307" s="12"/>
    </row>
    <row r="2308" spans="9:39" x14ac:dyDescent="0.3">
      <c r="I2308" s="12"/>
      <c r="N2308" s="12"/>
      <c r="S2308" s="12"/>
      <c r="X2308" s="12"/>
      <c r="AM2308" s="12"/>
    </row>
    <row r="2309" spans="9:39" x14ac:dyDescent="0.3">
      <c r="I2309" s="12"/>
      <c r="N2309" s="12"/>
      <c r="S2309" s="12"/>
      <c r="X2309" s="12"/>
      <c r="AM2309" s="12"/>
    </row>
    <row r="2310" spans="9:39" x14ac:dyDescent="0.3">
      <c r="I2310" s="12"/>
      <c r="N2310" s="12"/>
      <c r="S2310" s="12"/>
      <c r="X2310" s="12"/>
      <c r="AM2310" s="12"/>
    </row>
    <row r="2311" spans="9:39" x14ac:dyDescent="0.3">
      <c r="I2311" s="12"/>
      <c r="N2311" s="12"/>
      <c r="S2311" s="12"/>
      <c r="X2311" s="12"/>
      <c r="AM2311" s="12"/>
    </row>
    <row r="2312" spans="9:39" x14ac:dyDescent="0.3">
      <c r="I2312" s="12"/>
      <c r="N2312" s="12"/>
      <c r="S2312" s="12"/>
      <c r="X2312" s="12"/>
      <c r="AM2312" s="12"/>
    </row>
    <row r="2313" spans="9:39" x14ac:dyDescent="0.3">
      <c r="I2313" s="12"/>
      <c r="N2313" s="12"/>
      <c r="S2313" s="12"/>
      <c r="X2313" s="12"/>
      <c r="AM2313" s="12"/>
    </row>
    <row r="2314" spans="9:39" x14ac:dyDescent="0.3">
      <c r="I2314" s="12"/>
      <c r="N2314" s="12"/>
      <c r="S2314" s="12"/>
      <c r="X2314" s="12"/>
      <c r="AM2314" s="12"/>
    </row>
    <row r="2315" spans="9:39" x14ac:dyDescent="0.3">
      <c r="I2315" s="12"/>
      <c r="N2315" s="12"/>
      <c r="S2315" s="12"/>
      <c r="X2315" s="12"/>
      <c r="AM2315" s="12"/>
    </row>
    <row r="2316" spans="9:39" x14ac:dyDescent="0.3">
      <c r="I2316" s="12"/>
      <c r="N2316" s="12"/>
      <c r="S2316" s="12"/>
      <c r="X2316" s="12"/>
      <c r="AM2316" s="12"/>
    </row>
    <row r="2317" spans="9:39" x14ac:dyDescent="0.3">
      <c r="I2317" s="12"/>
      <c r="N2317" s="12"/>
      <c r="S2317" s="12"/>
      <c r="X2317" s="12"/>
      <c r="AM2317" s="12"/>
    </row>
    <row r="2318" spans="9:39" x14ac:dyDescent="0.3">
      <c r="I2318" s="12"/>
      <c r="N2318" s="12"/>
      <c r="S2318" s="12"/>
      <c r="X2318" s="12"/>
      <c r="AM2318" s="12"/>
    </row>
    <row r="2319" spans="9:39" x14ac:dyDescent="0.3">
      <c r="I2319" s="12"/>
      <c r="N2319" s="12"/>
      <c r="S2319" s="12"/>
      <c r="X2319" s="12"/>
      <c r="AM2319" s="12"/>
    </row>
    <row r="2320" spans="9:39" x14ac:dyDescent="0.3">
      <c r="I2320" s="12"/>
      <c r="N2320" s="12"/>
      <c r="S2320" s="12"/>
      <c r="X2320" s="12"/>
      <c r="AM2320" s="12"/>
    </row>
    <row r="2321" spans="9:39" x14ac:dyDescent="0.3">
      <c r="I2321" s="12"/>
      <c r="N2321" s="12"/>
      <c r="S2321" s="12"/>
      <c r="X2321" s="12"/>
      <c r="AM2321" s="12"/>
    </row>
    <row r="2322" spans="9:39" x14ac:dyDescent="0.3">
      <c r="I2322" s="12"/>
      <c r="N2322" s="12"/>
      <c r="S2322" s="12"/>
      <c r="X2322" s="12"/>
      <c r="AM2322" s="12"/>
    </row>
    <row r="2323" spans="9:39" x14ac:dyDescent="0.3">
      <c r="I2323" s="12"/>
      <c r="N2323" s="12"/>
      <c r="S2323" s="12"/>
      <c r="X2323" s="12"/>
      <c r="AM2323" s="12"/>
    </row>
    <row r="2324" spans="9:39" x14ac:dyDescent="0.3">
      <c r="I2324" s="12"/>
      <c r="N2324" s="12"/>
      <c r="S2324" s="12"/>
      <c r="X2324" s="12"/>
      <c r="AM2324" s="12"/>
    </row>
    <row r="2325" spans="9:39" x14ac:dyDescent="0.3">
      <c r="I2325" s="12"/>
      <c r="N2325" s="12"/>
      <c r="S2325" s="12"/>
      <c r="X2325" s="12"/>
      <c r="AM2325" s="12"/>
    </row>
    <row r="2326" spans="9:39" x14ac:dyDescent="0.3">
      <c r="I2326" s="12"/>
      <c r="N2326" s="12"/>
      <c r="S2326" s="12"/>
      <c r="X2326" s="12"/>
      <c r="AM2326" s="12"/>
    </row>
    <row r="2327" spans="9:39" x14ac:dyDescent="0.3">
      <c r="I2327" s="12"/>
      <c r="N2327" s="12"/>
      <c r="S2327" s="12"/>
      <c r="X2327" s="12"/>
      <c r="AM2327" s="12"/>
    </row>
    <row r="2328" spans="9:39" x14ac:dyDescent="0.3">
      <c r="I2328" s="12"/>
      <c r="N2328" s="12"/>
      <c r="S2328" s="12"/>
      <c r="X2328" s="12"/>
      <c r="AM2328" s="12"/>
    </row>
    <row r="2329" spans="9:39" x14ac:dyDescent="0.3">
      <c r="I2329" s="12"/>
      <c r="N2329" s="12"/>
      <c r="S2329" s="12"/>
      <c r="X2329" s="12"/>
      <c r="AM2329" s="12"/>
    </row>
    <row r="2330" spans="9:39" x14ac:dyDescent="0.3">
      <c r="I2330" s="12"/>
      <c r="N2330" s="12"/>
      <c r="S2330" s="12"/>
      <c r="X2330" s="12"/>
      <c r="AM2330" s="12"/>
    </row>
    <row r="2331" spans="9:39" x14ac:dyDescent="0.3">
      <c r="I2331" s="12"/>
      <c r="N2331" s="12"/>
      <c r="S2331" s="12"/>
      <c r="X2331" s="12"/>
      <c r="AM2331" s="12"/>
    </row>
    <row r="2332" spans="9:39" x14ac:dyDescent="0.3">
      <c r="I2332" s="12"/>
      <c r="N2332" s="12"/>
      <c r="S2332" s="12"/>
      <c r="X2332" s="12"/>
      <c r="AM2332" s="12"/>
    </row>
    <row r="2333" spans="9:39" x14ac:dyDescent="0.3">
      <c r="I2333" s="12"/>
      <c r="N2333" s="12"/>
      <c r="S2333" s="12"/>
      <c r="X2333" s="12"/>
      <c r="AM2333" s="12"/>
    </row>
    <row r="2334" spans="9:39" x14ac:dyDescent="0.3">
      <c r="I2334" s="12"/>
      <c r="N2334" s="12"/>
      <c r="S2334" s="12"/>
      <c r="X2334" s="12"/>
      <c r="AM2334" s="12"/>
    </row>
    <row r="2335" spans="9:39" x14ac:dyDescent="0.3">
      <c r="I2335" s="12"/>
      <c r="N2335" s="12"/>
      <c r="S2335" s="12"/>
      <c r="X2335" s="12"/>
      <c r="AM2335" s="12"/>
    </row>
    <row r="2336" spans="9:39" x14ac:dyDescent="0.3">
      <c r="I2336" s="12"/>
      <c r="N2336" s="12"/>
      <c r="S2336" s="12"/>
      <c r="X2336" s="12"/>
      <c r="AM2336" s="12"/>
    </row>
    <row r="2337" spans="9:39" x14ac:dyDescent="0.3">
      <c r="I2337" s="12"/>
      <c r="N2337" s="12"/>
      <c r="S2337" s="12"/>
      <c r="X2337" s="12"/>
      <c r="AM2337" s="12"/>
    </row>
    <row r="2338" spans="9:39" x14ac:dyDescent="0.3">
      <c r="I2338" s="12"/>
      <c r="N2338" s="12"/>
      <c r="S2338" s="12"/>
      <c r="X2338" s="12"/>
      <c r="AM2338" s="12"/>
    </row>
    <row r="2339" spans="9:39" x14ac:dyDescent="0.3">
      <c r="I2339" s="12"/>
      <c r="N2339" s="12"/>
      <c r="S2339" s="12"/>
      <c r="X2339" s="12"/>
      <c r="AM2339" s="12"/>
    </row>
    <row r="2340" spans="9:39" x14ac:dyDescent="0.3">
      <c r="I2340" s="12"/>
      <c r="N2340" s="12"/>
      <c r="S2340" s="12"/>
      <c r="X2340" s="12"/>
      <c r="AM2340" s="12"/>
    </row>
    <row r="2341" spans="9:39" x14ac:dyDescent="0.3">
      <c r="I2341" s="12"/>
      <c r="N2341" s="12"/>
      <c r="S2341" s="12"/>
      <c r="X2341" s="12"/>
      <c r="AM2341" s="12"/>
    </row>
    <row r="2342" spans="9:39" x14ac:dyDescent="0.3">
      <c r="I2342" s="12"/>
      <c r="N2342" s="12"/>
      <c r="S2342" s="12"/>
      <c r="X2342" s="12"/>
      <c r="AM2342" s="12"/>
    </row>
    <row r="2343" spans="9:39" x14ac:dyDescent="0.3">
      <c r="I2343" s="12"/>
      <c r="N2343" s="12"/>
      <c r="S2343" s="12"/>
      <c r="X2343" s="12"/>
      <c r="AM2343" s="12"/>
    </row>
    <row r="2344" spans="9:39" x14ac:dyDescent="0.3">
      <c r="I2344" s="12"/>
      <c r="N2344" s="12"/>
      <c r="S2344" s="12"/>
      <c r="X2344" s="12"/>
      <c r="AM2344" s="12"/>
    </row>
    <row r="2345" spans="9:39" x14ac:dyDescent="0.3">
      <c r="I2345" s="12"/>
      <c r="N2345" s="12"/>
      <c r="S2345" s="12"/>
      <c r="X2345" s="12"/>
      <c r="AM2345" s="12"/>
    </row>
    <row r="2346" spans="9:39" x14ac:dyDescent="0.3">
      <c r="I2346" s="12"/>
      <c r="N2346" s="12"/>
      <c r="S2346" s="12"/>
      <c r="X2346" s="12"/>
      <c r="AM2346" s="12"/>
    </row>
    <row r="2347" spans="9:39" x14ac:dyDescent="0.3">
      <c r="I2347" s="12"/>
      <c r="N2347" s="12"/>
      <c r="S2347" s="12"/>
      <c r="X2347" s="12"/>
      <c r="AM2347" s="12"/>
    </row>
    <row r="2348" spans="9:39" x14ac:dyDescent="0.3">
      <c r="I2348" s="12"/>
      <c r="N2348" s="12"/>
      <c r="S2348" s="12"/>
      <c r="X2348" s="12"/>
      <c r="AM2348" s="12"/>
    </row>
    <row r="2349" spans="9:39" x14ac:dyDescent="0.3">
      <c r="I2349" s="12"/>
      <c r="N2349" s="12"/>
      <c r="S2349" s="12"/>
      <c r="X2349" s="12"/>
      <c r="AM2349" s="12"/>
    </row>
    <row r="2350" spans="9:39" x14ac:dyDescent="0.3">
      <c r="I2350" s="12"/>
      <c r="N2350" s="12"/>
      <c r="S2350" s="12"/>
      <c r="X2350" s="12"/>
      <c r="AM2350" s="12"/>
    </row>
    <row r="2351" spans="9:39" x14ac:dyDescent="0.3">
      <c r="I2351" s="12"/>
      <c r="N2351" s="12"/>
      <c r="S2351" s="12"/>
      <c r="X2351" s="12"/>
      <c r="AM2351" s="12"/>
    </row>
    <row r="2352" spans="9:39" x14ac:dyDescent="0.3">
      <c r="I2352" s="12"/>
      <c r="N2352" s="12"/>
      <c r="S2352" s="12"/>
      <c r="X2352" s="12"/>
      <c r="AM2352" s="12"/>
    </row>
    <row r="2353" spans="9:39" x14ac:dyDescent="0.3">
      <c r="I2353" s="12"/>
      <c r="N2353" s="12"/>
      <c r="S2353" s="12"/>
      <c r="X2353" s="12"/>
      <c r="AM2353" s="12"/>
    </row>
    <row r="2354" spans="9:39" x14ac:dyDescent="0.3">
      <c r="I2354" s="12"/>
      <c r="N2354" s="12"/>
      <c r="S2354" s="12"/>
      <c r="X2354" s="12"/>
      <c r="AM2354" s="12"/>
    </row>
    <row r="2355" spans="9:39" x14ac:dyDescent="0.3">
      <c r="I2355" s="12"/>
      <c r="N2355" s="12"/>
      <c r="S2355" s="12"/>
      <c r="X2355" s="12"/>
      <c r="AM2355" s="12"/>
    </row>
    <row r="2356" spans="9:39" x14ac:dyDescent="0.3">
      <c r="I2356" s="12"/>
      <c r="N2356" s="12"/>
      <c r="S2356" s="12"/>
      <c r="X2356" s="12"/>
      <c r="AM2356" s="12"/>
    </row>
    <row r="2357" spans="9:39" x14ac:dyDescent="0.3">
      <c r="I2357" s="12"/>
      <c r="N2357" s="12"/>
      <c r="S2357" s="12"/>
      <c r="X2357" s="12"/>
      <c r="AM2357" s="12"/>
    </row>
    <row r="2358" spans="9:39" x14ac:dyDescent="0.3">
      <c r="I2358" s="12"/>
      <c r="N2358" s="12"/>
      <c r="S2358" s="12"/>
      <c r="X2358" s="12"/>
      <c r="AM2358" s="12"/>
    </row>
    <row r="2359" spans="9:39" x14ac:dyDescent="0.3">
      <c r="I2359" s="12"/>
      <c r="N2359" s="12"/>
      <c r="S2359" s="12"/>
      <c r="X2359" s="12"/>
      <c r="AM2359" s="12"/>
    </row>
    <row r="2360" spans="9:39" x14ac:dyDescent="0.3">
      <c r="I2360" s="12"/>
      <c r="N2360" s="12"/>
      <c r="S2360" s="12"/>
      <c r="X2360" s="12"/>
      <c r="AM2360" s="12"/>
    </row>
    <row r="2361" spans="9:39" x14ac:dyDescent="0.3">
      <c r="I2361" s="12"/>
      <c r="N2361" s="12"/>
      <c r="S2361" s="12"/>
      <c r="X2361" s="12"/>
      <c r="AM2361" s="12"/>
    </row>
    <row r="2362" spans="9:39" x14ac:dyDescent="0.3">
      <c r="I2362" s="12"/>
      <c r="N2362" s="12"/>
      <c r="S2362" s="12"/>
      <c r="X2362" s="12"/>
      <c r="AM2362" s="12"/>
    </row>
    <row r="2363" spans="9:39" x14ac:dyDescent="0.3">
      <c r="I2363" s="12"/>
      <c r="N2363" s="12"/>
      <c r="S2363" s="12"/>
      <c r="X2363" s="12"/>
      <c r="AM2363" s="12"/>
    </row>
    <row r="2364" spans="9:39" x14ac:dyDescent="0.3">
      <c r="I2364" s="12"/>
      <c r="N2364" s="12"/>
      <c r="S2364" s="12"/>
      <c r="X2364" s="12"/>
      <c r="AM2364" s="12"/>
    </row>
    <row r="2365" spans="9:39" x14ac:dyDescent="0.3">
      <c r="I2365" s="12"/>
      <c r="N2365" s="12"/>
      <c r="S2365" s="12"/>
      <c r="X2365" s="12"/>
      <c r="AM2365" s="12"/>
    </row>
    <row r="2366" spans="9:39" x14ac:dyDescent="0.3">
      <c r="I2366" s="12"/>
      <c r="N2366" s="12"/>
      <c r="S2366" s="12"/>
      <c r="X2366" s="12"/>
      <c r="AM2366" s="12"/>
    </row>
    <row r="2367" spans="9:39" x14ac:dyDescent="0.3">
      <c r="I2367" s="12"/>
      <c r="N2367" s="12"/>
      <c r="S2367" s="12"/>
      <c r="X2367" s="12"/>
      <c r="AM2367" s="12"/>
    </row>
    <row r="2368" spans="9:39" x14ac:dyDescent="0.3">
      <c r="I2368" s="12"/>
      <c r="N2368" s="12"/>
      <c r="S2368" s="12"/>
      <c r="X2368" s="12"/>
      <c r="AM2368" s="12"/>
    </row>
    <row r="2369" spans="9:39" x14ac:dyDescent="0.3">
      <c r="I2369" s="12"/>
      <c r="N2369" s="12"/>
      <c r="S2369" s="12"/>
      <c r="X2369" s="12"/>
      <c r="AM2369" s="12"/>
    </row>
    <row r="2370" spans="9:39" x14ac:dyDescent="0.3">
      <c r="I2370" s="12"/>
      <c r="N2370" s="12"/>
      <c r="S2370" s="12"/>
      <c r="X2370" s="12"/>
      <c r="AM2370" s="12"/>
    </row>
    <row r="2371" spans="9:39" x14ac:dyDescent="0.3">
      <c r="I2371" s="12"/>
      <c r="N2371" s="12"/>
      <c r="S2371" s="12"/>
      <c r="X2371" s="12"/>
      <c r="AM2371" s="12"/>
    </row>
    <row r="2372" spans="9:39" x14ac:dyDescent="0.3">
      <c r="I2372" s="12"/>
      <c r="N2372" s="12"/>
      <c r="S2372" s="12"/>
      <c r="X2372" s="12"/>
      <c r="AM2372" s="12"/>
    </row>
    <row r="2373" spans="9:39" x14ac:dyDescent="0.3">
      <c r="I2373" s="12"/>
      <c r="N2373" s="12"/>
      <c r="S2373" s="12"/>
      <c r="X2373" s="12"/>
      <c r="AM2373" s="12"/>
    </row>
    <row r="2374" spans="9:39" x14ac:dyDescent="0.3">
      <c r="I2374" s="12"/>
      <c r="N2374" s="12"/>
      <c r="S2374" s="12"/>
      <c r="X2374" s="12"/>
      <c r="AM2374" s="12"/>
    </row>
    <row r="2375" spans="9:39" x14ac:dyDescent="0.3">
      <c r="I2375" s="12"/>
      <c r="N2375" s="12"/>
      <c r="S2375" s="12"/>
      <c r="X2375" s="12"/>
      <c r="AM2375" s="12"/>
    </row>
    <row r="2376" spans="9:39" x14ac:dyDescent="0.3">
      <c r="I2376" s="12"/>
      <c r="N2376" s="12"/>
      <c r="S2376" s="12"/>
      <c r="X2376" s="12"/>
      <c r="AM2376" s="12"/>
    </row>
    <row r="2377" spans="9:39" x14ac:dyDescent="0.3">
      <c r="I2377" s="12"/>
      <c r="N2377" s="12"/>
      <c r="S2377" s="12"/>
      <c r="X2377" s="12"/>
      <c r="AM2377" s="12"/>
    </row>
    <row r="2378" spans="9:39" x14ac:dyDescent="0.3">
      <c r="I2378" s="12"/>
      <c r="N2378" s="12"/>
      <c r="S2378" s="12"/>
      <c r="X2378" s="12"/>
      <c r="AM2378" s="12"/>
    </row>
    <row r="2379" spans="9:39" x14ac:dyDescent="0.3">
      <c r="I2379" s="12"/>
      <c r="N2379" s="12"/>
      <c r="S2379" s="12"/>
      <c r="X2379" s="12"/>
      <c r="AM2379" s="12"/>
    </row>
    <row r="2380" spans="9:39" x14ac:dyDescent="0.3">
      <c r="I2380" s="12"/>
      <c r="N2380" s="12"/>
      <c r="S2380" s="12"/>
      <c r="X2380" s="12"/>
      <c r="AM2380" s="12"/>
    </row>
    <row r="2381" spans="9:39" x14ac:dyDescent="0.3">
      <c r="I2381" s="12"/>
      <c r="N2381" s="12"/>
      <c r="S2381" s="12"/>
      <c r="X2381" s="12"/>
      <c r="AM2381" s="12"/>
    </row>
    <row r="2382" spans="9:39" x14ac:dyDescent="0.3">
      <c r="I2382" s="12"/>
      <c r="N2382" s="12"/>
      <c r="S2382" s="12"/>
      <c r="X2382" s="12"/>
      <c r="AM2382" s="12"/>
    </row>
    <row r="2383" spans="9:39" x14ac:dyDescent="0.3">
      <c r="I2383" s="12"/>
      <c r="N2383" s="12"/>
      <c r="S2383" s="12"/>
      <c r="X2383" s="12"/>
      <c r="AM2383" s="12"/>
    </row>
    <row r="2384" spans="9:39" x14ac:dyDescent="0.3">
      <c r="I2384" s="12"/>
      <c r="N2384" s="12"/>
      <c r="S2384" s="12"/>
      <c r="X2384" s="12"/>
      <c r="AM2384" s="12"/>
    </row>
    <row r="2385" spans="9:39" x14ac:dyDescent="0.3">
      <c r="I2385" s="12"/>
      <c r="N2385" s="12"/>
      <c r="S2385" s="12"/>
      <c r="X2385" s="12"/>
      <c r="AM2385" s="12"/>
    </row>
    <row r="2386" spans="9:39" x14ac:dyDescent="0.3">
      <c r="I2386" s="12"/>
      <c r="N2386" s="12"/>
      <c r="S2386" s="12"/>
      <c r="X2386" s="12"/>
      <c r="AM2386" s="12"/>
    </row>
    <row r="2387" spans="9:39" x14ac:dyDescent="0.3">
      <c r="I2387" s="12"/>
      <c r="N2387" s="12"/>
      <c r="S2387" s="12"/>
      <c r="X2387" s="12"/>
      <c r="AM2387" s="12"/>
    </row>
    <row r="2388" spans="9:39" x14ac:dyDescent="0.3">
      <c r="I2388" s="12"/>
      <c r="N2388" s="12"/>
      <c r="S2388" s="12"/>
      <c r="X2388" s="12"/>
      <c r="AM2388" s="12"/>
    </row>
    <row r="2389" spans="9:39" x14ac:dyDescent="0.3">
      <c r="I2389" s="12"/>
      <c r="N2389" s="12"/>
      <c r="S2389" s="12"/>
      <c r="X2389" s="12"/>
      <c r="AM2389" s="12"/>
    </row>
    <row r="2390" spans="9:39" x14ac:dyDescent="0.3">
      <c r="I2390" s="12"/>
      <c r="N2390" s="12"/>
      <c r="S2390" s="12"/>
      <c r="X2390" s="12"/>
      <c r="AM2390" s="12"/>
    </row>
    <row r="2391" spans="9:39" x14ac:dyDescent="0.3">
      <c r="I2391" s="12"/>
      <c r="N2391" s="12"/>
      <c r="S2391" s="12"/>
      <c r="X2391" s="12"/>
      <c r="AM2391" s="12"/>
    </row>
    <row r="2392" spans="9:39" x14ac:dyDescent="0.3">
      <c r="I2392" s="12"/>
      <c r="N2392" s="12"/>
      <c r="S2392" s="12"/>
      <c r="X2392" s="12"/>
      <c r="AM2392" s="12"/>
    </row>
    <row r="2393" spans="9:39" x14ac:dyDescent="0.3">
      <c r="I2393" s="12"/>
      <c r="N2393" s="12"/>
      <c r="S2393" s="12"/>
      <c r="X2393" s="12"/>
      <c r="AM2393" s="12"/>
    </row>
    <row r="2394" spans="9:39" x14ac:dyDescent="0.3">
      <c r="I2394" s="12"/>
      <c r="N2394" s="12"/>
      <c r="S2394" s="12"/>
      <c r="X2394" s="12"/>
      <c r="AM2394" s="12"/>
    </row>
    <row r="2395" spans="9:39" x14ac:dyDescent="0.3">
      <c r="I2395" s="12"/>
      <c r="N2395" s="12"/>
      <c r="S2395" s="12"/>
      <c r="X2395" s="12"/>
      <c r="AM2395" s="12"/>
    </row>
    <row r="2396" spans="9:39" x14ac:dyDescent="0.3">
      <c r="I2396" s="12"/>
      <c r="N2396" s="12"/>
      <c r="S2396" s="12"/>
      <c r="X2396" s="12"/>
      <c r="AM2396" s="12"/>
    </row>
    <row r="2397" spans="9:39" x14ac:dyDescent="0.3">
      <c r="I2397" s="12"/>
      <c r="N2397" s="12"/>
      <c r="S2397" s="12"/>
      <c r="X2397" s="12"/>
      <c r="AM2397" s="12"/>
    </row>
    <row r="2398" spans="9:39" x14ac:dyDescent="0.3">
      <c r="I2398" s="12"/>
      <c r="N2398" s="12"/>
      <c r="S2398" s="12"/>
      <c r="X2398" s="12"/>
      <c r="AM2398" s="12"/>
    </row>
    <row r="2399" spans="9:39" x14ac:dyDescent="0.3">
      <c r="I2399" s="12"/>
      <c r="N2399" s="12"/>
      <c r="S2399" s="12"/>
      <c r="X2399" s="12"/>
      <c r="AM2399" s="12"/>
    </row>
    <row r="2400" spans="9:39" x14ac:dyDescent="0.3">
      <c r="I2400" s="12"/>
      <c r="N2400" s="12"/>
      <c r="S2400" s="12"/>
      <c r="X2400" s="12"/>
      <c r="AM2400" s="12"/>
    </row>
    <row r="2401" spans="9:39" x14ac:dyDescent="0.3">
      <c r="I2401" s="12"/>
      <c r="N2401" s="12"/>
      <c r="S2401" s="12"/>
      <c r="X2401" s="12"/>
      <c r="AM2401" s="12"/>
    </row>
    <row r="2402" spans="9:39" x14ac:dyDescent="0.3">
      <c r="I2402" s="12"/>
      <c r="N2402" s="12"/>
      <c r="S2402" s="12"/>
      <c r="X2402" s="12"/>
      <c r="AM2402" s="12"/>
    </row>
    <row r="2403" spans="9:39" x14ac:dyDescent="0.3">
      <c r="I2403" s="12"/>
      <c r="N2403" s="12"/>
      <c r="S2403" s="12"/>
      <c r="X2403" s="12"/>
      <c r="AM2403" s="12"/>
    </row>
    <row r="2404" spans="9:39" x14ac:dyDescent="0.3">
      <c r="I2404" s="12"/>
      <c r="N2404" s="12"/>
      <c r="S2404" s="12"/>
      <c r="X2404" s="12"/>
      <c r="AM2404" s="12"/>
    </row>
    <row r="2405" spans="9:39" x14ac:dyDescent="0.3">
      <c r="I2405" s="12"/>
      <c r="N2405" s="12"/>
      <c r="S2405" s="12"/>
      <c r="X2405" s="12"/>
      <c r="AM2405" s="12"/>
    </row>
    <row r="2406" spans="9:39" x14ac:dyDescent="0.3">
      <c r="I2406" s="12"/>
      <c r="N2406" s="12"/>
      <c r="S2406" s="12"/>
      <c r="X2406" s="12"/>
      <c r="AM2406" s="12"/>
    </row>
    <row r="2407" spans="9:39" x14ac:dyDescent="0.3">
      <c r="I2407" s="12"/>
      <c r="N2407" s="12"/>
      <c r="S2407" s="12"/>
      <c r="X2407" s="12"/>
      <c r="AM2407" s="12"/>
    </row>
    <row r="2408" spans="9:39" x14ac:dyDescent="0.3">
      <c r="I2408" s="12"/>
      <c r="N2408" s="12"/>
      <c r="S2408" s="12"/>
      <c r="X2408" s="12"/>
      <c r="AM2408" s="12"/>
    </row>
    <row r="2409" spans="9:39" x14ac:dyDescent="0.3">
      <c r="I2409" s="12"/>
      <c r="N2409" s="12"/>
      <c r="S2409" s="12"/>
      <c r="X2409" s="12"/>
      <c r="AM2409" s="12"/>
    </row>
    <row r="2410" spans="9:39" x14ac:dyDescent="0.3">
      <c r="I2410" s="12"/>
      <c r="N2410" s="12"/>
      <c r="S2410" s="12"/>
      <c r="X2410" s="12"/>
      <c r="AM2410" s="12"/>
    </row>
    <row r="2411" spans="9:39" x14ac:dyDescent="0.3">
      <c r="I2411" s="12"/>
      <c r="N2411" s="12"/>
      <c r="S2411" s="12"/>
      <c r="X2411" s="12"/>
      <c r="AM2411" s="12"/>
    </row>
    <row r="2412" spans="9:39" x14ac:dyDescent="0.3">
      <c r="I2412" s="12"/>
      <c r="N2412" s="12"/>
      <c r="S2412" s="12"/>
      <c r="X2412" s="12"/>
      <c r="AM2412" s="12"/>
    </row>
    <row r="2413" spans="9:39" x14ac:dyDescent="0.3">
      <c r="I2413" s="12"/>
      <c r="N2413" s="12"/>
      <c r="S2413" s="12"/>
      <c r="X2413" s="12"/>
      <c r="AM2413" s="12"/>
    </row>
    <row r="2414" spans="9:39" x14ac:dyDescent="0.3">
      <c r="I2414" s="12"/>
      <c r="N2414" s="12"/>
      <c r="S2414" s="12"/>
      <c r="X2414" s="12"/>
      <c r="AM2414" s="12"/>
    </row>
    <row r="2415" spans="9:39" x14ac:dyDescent="0.3">
      <c r="I2415" s="12"/>
      <c r="N2415" s="12"/>
      <c r="S2415" s="12"/>
      <c r="X2415" s="12"/>
      <c r="AM2415" s="12"/>
    </row>
    <row r="2416" spans="9:39" x14ac:dyDescent="0.3">
      <c r="I2416" s="12"/>
      <c r="N2416" s="12"/>
      <c r="S2416" s="12"/>
      <c r="X2416" s="12"/>
      <c r="AM2416" s="12"/>
    </row>
    <row r="2417" spans="9:39" x14ac:dyDescent="0.3">
      <c r="I2417" s="12"/>
      <c r="N2417" s="12"/>
      <c r="S2417" s="12"/>
      <c r="X2417" s="12"/>
      <c r="AM2417" s="12"/>
    </row>
    <row r="2418" spans="9:39" x14ac:dyDescent="0.3">
      <c r="I2418" s="12"/>
      <c r="N2418" s="12"/>
      <c r="S2418" s="12"/>
      <c r="X2418" s="12"/>
      <c r="AM2418" s="12"/>
    </row>
    <row r="2419" spans="9:39" x14ac:dyDescent="0.3">
      <c r="I2419" s="12"/>
      <c r="N2419" s="12"/>
      <c r="S2419" s="12"/>
      <c r="X2419" s="12"/>
      <c r="AM2419" s="12"/>
    </row>
    <row r="2420" spans="9:39" x14ac:dyDescent="0.3">
      <c r="I2420" s="12"/>
      <c r="N2420" s="12"/>
      <c r="S2420" s="12"/>
      <c r="X2420" s="12"/>
      <c r="AM2420" s="12"/>
    </row>
    <row r="2421" spans="9:39" x14ac:dyDescent="0.3">
      <c r="I2421" s="12"/>
      <c r="N2421" s="12"/>
      <c r="S2421" s="12"/>
      <c r="X2421" s="12"/>
      <c r="AM2421" s="12"/>
    </row>
    <row r="2422" spans="9:39" x14ac:dyDescent="0.3">
      <c r="I2422" s="12"/>
      <c r="N2422" s="12"/>
      <c r="S2422" s="12"/>
      <c r="X2422" s="12"/>
      <c r="AM2422" s="12"/>
    </row>
    <row r="2423" spans="9:39" x14ac:dyDescent="0.3">
      <c r="I2423" s="12"/>
      <c r="N2423" s="12"/>
      <c r="S2423" s="12"/>
      <c r="X2423" s="12"/>
      <c r="AM2423" s="12"/>
    </row>
    <row r="2424" spans="9:39" x14ac:dyDescent="0.3">
      <c r="I2424" s="12"/>
      <c r="N2424" s="12"/>
      <c r="S2424" s="12"/>
      <c r="X2424" s="12"/>
      <c r="AM2424" s="12"/>
    </row>
    <row r="2425" spans="9:39" x14ac:dyDescent="0.3">
      <c r="I2425" s="12"/>
      <c r="N2425" s="12"/>
      <c r="S2425" s="12"/>
      <c r="X2425" s="12"/>
      <c r="AM2425" s="12"/>
    </row>
    <row r="2426" spans="9:39" x14ac:dyDescent="0.3">
      <c r="I2426" s="12"/>
      <c r="N2426" s="12"/>
      <c r="S2426" s="12"/>
      <c r="X2426" s="12"/>
      <c r="AM2426" s="12"/>
    </row>
    <row r="2427" spans="9:39" x14ac:dyDescent="0.3">
      <c r="I2427" s="12"/>
      <c r="N2427" s="12"/>
      <c r="S2427" s="12"/>
      <c r="X2427" s="12"/>
      <c r="AM2427" s="12"/>
    </row>
    <row r="2428" spans="9:39" x14ac:dyDescent="0.3">
      <c r="I2428" s="12"/>
      <c r="N2428" s="12"/>
      <c r="S2428" s="12"/>
      <c r="X2428" s="12"/>
      <c r="AM2428" s="12"/>
    </row>
    <row r="2429" spans="9:39" x14ac:dyDescent="0.3">
      <c r="I2429" s="12"/>
      <c r="N2429" s="12"/>
      <c r="S2429" s="12"/>
      <c r="X2429" s="12"/>
      <c r="AM2429" s="12"/>
    </row>
    <row r="2430" spans="9:39" x14ac:dyDescent="0.3">
      <c r="I2430" s="12"/>
      <c r="N2430" s="12"/>
      <c r="S2430" s="12"/>
      <c r="X2430" s="12"/>
      <c r="AM2430" s="12"/>
    </row>
    <row r="2431" spans="9:39" x14ac:dyDescent="0.3">
      <c r="I2431" s="12"/>
      <c r="N2431" s="12"/>
      <c r="S2431" s="12"/>
      <c r="X2431" s="12"/>
      <c r="AM2431" s="12"/>
    </row>
    <row r="2432" spans="9:39" x14ac:dyDescent="0.3">
      <c r="I2432" s="12"/>
      <c r="N2432" s="12"/>
      <c r="S2432" s="12"/>
      <c r="X2432" s="12"/>
      <c r="AM2432" s="12"/>
    </row>
    <row r="2433" spans="9:39" x14ac:dyDescent="0.3">
      <c r="I2433" s="12"/>
      <c r="N2433" s="12"/>
      <c r="S2433" s="12"/>
      <c r="X2433" s="12"/>
      <c r="AM2433" s="12"/>
    </row>
    <row r="2434" spans="9:39" x14ac:dyDescent="0.3">
      <c r="I2434" s="12"/>
      <c r="N2434" s="12"/>
      <c r="S2434" s="12"/>
      <c r="X2434" s="12"/>
      <c r="AM2434" s="12"/>
    </row>
    <row r="2435" spans="9:39" x14ac:dyDescent="0.3">
      <c r="I2435" s="12"/>
      <c r="N2435" s="12"/>
      <c r="S2435" s="12"/>
      <c r="X2435" s="12"/>
      <c r="AM2435" s="12"/>
    </row>
    <row r="2436" spans="9:39" x14ac:dyDescent="0.3">
      <c r="I2436" s="12"/>
      <c r="N2436" s="12"/>
      <c r="S2436" s="12"/>
      <c r="X2436" s="12"/>
      <c r="AM2436" s="12"/>
    </row>
    <row r="2437" spans="9:39" x14ac:dyDescent="0.3">
      <c r="I2437" s="12"/>
      <c r="N2437" s="12"/>
      <c r="S2437" s="12"/>
      <c r="X2437" s="12"/>
      <c r="AM2437" s="12"/>
    </row>
    <row r="2438" spans="9:39" x14ac:dyDescent="0.3">
      <c r="I2438" s="12"/>
      <c r="N2438" s="12"/>
      <c r="S2438" s="12"/>
      <c r="X2438" s="12"/>
      <c r="AM2438" s="12"/>
    </row>
    <row r="2439" spans="9:39" x14ac:dyDescent="0.3">
      <c r="I2439" s="12"/>
      <c r="N2439" s="12"/>
      <c r="S2439" s="12"/>
      <c r="X2439" s="12"/>
      <c r="AM2439" s="12"/>
    </row>
    <row r="2440" spans="9:39" x14ac:dyDescent="0.3">
      <c r="I2440" s="12"/>
      <c r="N2440" s="12"/>
      <c r="S2440" s="12"/>
      <c r="X2440" s="12"/>
      <c r="AM2440" s="12"/>
    </row>
    <row r="2441" spans="9:39" x14ac:dyDescent="0.3">
      <c r="I2441" s="12"/>
      <c r="N2441" s="12"/>
      <c r="S2441" s="12"/>
      <c r="X2441" s="12"/>
      <c r="AM2441" s="12"/>
    </row>
    <row r="2442" spans="9:39" x14ac:dyDescent="0.3">
      <c r="I2442" s="12"/>
      <c r="N2442" s="12"/>
      <c r="S2442" s="12"/>
      <c r="X2442" s="12"/>
      <c r="AM2442" s="12"/>
    </row>
    <row r="2443" spans="9:39" x14ac:dyDescent="0.3">
      <c r="I2443" s="12"/>
      <c r="N2443" s="12"/>
      <c r="S2443" s="12"/>
      <c r="X2443" s="12"/>
      <c r="AM2443" s="12"/>
    </row>
    <row r="2444" spans="9:39" x14ac:dyDescent="0.3">
      <c r="I2444" s="12"/>
      <c r="N2444" s="12"/>
      <c r="S2444" s="12"/>
      <c r="X2444" s="12"/>
      <c r="AM2444" s="12"/>
    </row>
    <row r="2445" spans="9:39" x14ac:dyDescent="0.3">
      <c r="I2445" s="12"/>
      <c r="N2445" s="12"/>
      <c r="S2445" s="12"/>
      <c r="X2445" s="12"/>
      <c r="AM2445" s="12"/>
    </row>
    <row r="2446" spans="9:39" x14ac:dyDescent="0.3">
      <c r="I2446" s="12"/>
      <c r="N2446" s="12"/>
      <c r="S2446" s="12"/>
      <c r="X2446" s="12"/>
      <c r="AM2446" s="12"/>
    </row>
    <row r="2447" spans="9:39" x14ac:dyDescent="0.3">
      <c r="I2447" s="12"/>
      <c r="N2447" s="12"/>
      <c r="S2447" s="12"/>
      <c r="X2447" s="12"/>
      <c r="AM2447" s="12"/>
    </row>
    <row r="2448" spans="9:39" x14ac:dyDescent="0.3">
      <c r="I2448" s="12"/>
      <c r="N2448" s="12"/>
      <c r="S2448" s="12"/>
      <c r="X2448" s="12"/>
      <c r="AM2448" s="12"/>
    </row>
    <row r="2449" spans="9:39" x14ac:dyDescent="0.3">
      <c r="I2449" s="12"/>
      <c r="N2449" s="12"/>
      <c r="S2449" s="12"/>
      <c r="X2449" s="12"/>
      <c r="AM2449" s="12"/>
    </row>
    <row r="2450" spans="9:39" x14ac:dyDescent="0.3">
      <c r="I2450" s="12"/>
      <c r="N2450" s="12"/>
      <c r="S2450" s="12"/>
      <c r="X2450" s="12"/>
      <c r="AM2450" s="12"/>
    </row>
    <row r="2451" spans="9:39" x14ac:dyDescent="0.3">
      <c r="I2451" s="12"/>
      <c r="N2451" s="12"/>
      <c r="S2451" s="12"/>
      <c r="X2451" s="12"/>
      <c r="AM2451" s="12"/>
    </row>
    <row r="2452" spans="9:39" x14ac:dyDescent="0.3">
      <c r="I2452" s="12"/>
      <c r="N2452" s="12"/>
      <c r="S2452" s="12"/>
      <c r="X2452" s="12"/>
      <c r="AM2452" s="12"/>
    </row>
    <row r="2453" spans="9:39" x14ac:dyDescent="0.3">
      <c r="I2453" s="12"/>
      <c r="N2453" s="12"/>
      <c r="S2453" s="12"/>
      <c r="X2453" s="12"/>
      <c r="AM2453" s="12"/>
    </row>
    <row r="2454" spans="9:39" x14ac:dyDescent="0.3">
      <c r="I2454" s="12"/>
      <c r="N2454" s="12"/>
      <c r="S2454" s="12"/>
      <c r="X2454" s="12"/>
      <c r="AM2454" s="12"/>
    </row>
    <row r="2455" spans="9:39" x14ac:dyDescent="0.3">
      <c r="I2455" s="12"/>
      <c r="N2455" s="12"/>
      <c r="S2455" s="12"/>
      <c r="X2455" s="12"/>
      <c r="AM2455" s="12"/>
    </row>
    <row r="2456" spans="9:39" x14ac:dyDescent="0.3">
      <c r="I2456" s="12"/>
      <c r="N2456" s="12"/>
      <c r="S2456" s="12"/>
      <c r="X2456" s="12"/>
      <c r="AM2456" s="12"/>
    </row>
    <row r="2457" spans="9:39" x14ac:dyDescent="0.3">
      <c r="I2457" s="12"/>
      <c r="N2457" s="12"/>
      <c r="S2457" s="12"/>
      <c r="X2457" s="12"/>
      <c r="AM2457" s="12"/>
    </row>
    <row r="2458" spans="9:39" x14ac:dyDescent="0.3">
      <c r="I2458" s="12"/>
      <c r="N2458" s="12"/>
      <c r="S2458" s="12"/>
      <c r="X2458" s="12"/>
      <c r="AM2458" s="12"/>
    </row>
    <row r="2459" spans="9:39" x14ac:dyDescent="0.3">
      <c r="I2459" s="12"/>
      <c r="N2459" s="12"/>
      <c r="S2459" s="12"/>
      <c r="X2459" s="12"/>
      <c r="AM2459" s="12"/>
    </row>
    <row r="2460" spans="9:39" x14ac:dyDescent="0.3">
      <c r="I2460" s="12"/>
      <c r="N2460" s="12"/>
      <c r="S2460" s="12"/>
      <c r="X2460" s="12"/>
      <c r="AM2460" s="12"/>
    </row>
    <row r="2461" spans="9:39" x14ac:dyDescent="0.3">
      <c r="I2461" s="12"/>
      <c r="N2461" s="12"/>
      <c r="S2461" s="12"/>
      <c r="X2461" s="12"/>
      <c r="AM2461" s="12"/>
    </row>
    <row r="2462" spans="9:39" x14ac:dyDescent="0.3">
      <c r="I2462" s="12"/>
      <c r="N2462" s="12"/>
      <c r="S2462" s="12"/>
      <c r="X2462" s="12"/>
      <c r="AM2462" s="12"/>
    </row>
    <row r="2463" spans="9:39" x14ac:dyDescent="0.3">
      <c r="I2463" s="12"/>
      <c r="N2463" s="12"/>
      <c r="S2463" s="12"/>
      <c r="X2463" s="12"/>
      <c r="AM2463" s="12"/>
    </row>
    <row r="2464" spans="9:39" x14ac:dyDescent="0.3">
      <c r="I2464" s="12"/>
      <c r="N2464" s="12"/>
      <c r="S2464" s="12"/>
      <c r="X2464" s="12"/>
      <c r="AM2464" s="12"/>
    </row>
    <row r="2465" spans="9:39" x14ac:dyDescent="0.3">
      <c r="I2465" s="12"/>
      <c r="N2465" s="12"/>
      <c r="S2465" s="12"/>
      <c r="X2465" s="12"/>
      <c r="AM2465" s="12"/>
    </row>
    <row r="2466" spans="9:39" x14ac:dyDescent="0.3">
      <c r="I2466" s="12"/>
      <c r="N2466" s="12"/>
      <c r="S2466" s="12"/>
      <c r="X2466" s="12"/>
      <c r="AM2466" s="12"/>
    </row>
    <row r="2467" spans="9:39" x14ac:dyDescent="0.3">
      <c r="I2467" s="12"/>
      <c r="N2467" s="12"/>
      <c r="S2467" s="12"/>
      <c r="X2467" s="12"/>
      <c r="AM2467" s="12"/>
    </row>
    <row r="2468" spans="9:39" x14ac:dyDescent="0.3">
      <c r="I2468" s="12"/>
      <c r="N2468" s="12"/>
      <c r="S2468" s="12"/>
      <c r="X2468" s="12"/>
      <c r="AM2468" s="12"/>
    </row>
    <row r="2469" spans="9:39" x14ac:dyDescent="0.3">
      <c r="I2469" s="12"/>
      <c r="N2469" s="12"/>
      <c r="S2469" s="12"/>
      <c r="X2469" s="12"/>
      <c r="AM2469" s="12"/>
    </row>
    <row r="2470" spans="9:39" x14ac:dyDescent="0.3">
      <c r="I2470" s="12"/>
      <c r="N2470" s="12"/>
      <c r="S2470" s="12"/>
      <c r="X2470" s="12"/>
      <c r="AM2470" s="12"/>
    </row>
    <row r="2471" spans="9:39" x14ac:dyDescent="0.3">
      <c r="I2471" s="12"/>
      <c r="N2471" s="12"/>
      <c r="S2471" s="12"/>
      <c r="X2471" s="12"/>
      <c r="AM2471" s="12"/>
    </row>
    <row r="2472" spans="9:39" x14ac:dyDescent="0.3">
      <c r="I2472" s="12"/>
      <c r="N2472" s="12"/>
      <c r="S2472" s="12"/>
      <c r="X2472" s="12"/>
      <c r="AM2472" s="12"/>
    </row>
    <row r="2473" spans="9:39" x14ac:dyDescent="0.3">
      <c r="I2473" s="12"/>
      <c r="N2473" s="12"/>
      <c r="S2473" s="12"/>
      <c r="X2473" s="12"/>
      <c r="AM2473" s="12"/>
    </row>
    <row r="2474" spans="9:39" x14ac:dyDescent="0.3">
      <c r="I2474" s="12"/>
      <c r="N2474" s="12"/>
      <c r="S2474" s="12"/>
      <c r="X2474" s="12"/>
      <c r="AM2474" s="12"/>
    </row>
    <row r="2475" spans="9:39" x14ac:dyDescent="0.3">
      <c r="I2475" s="12"/>
      <c r="N2475" s="12"/>
      <c r="S2475" s="12"/>
      <c r="X2475" s="12"/>
      <c r="AM2475" s="12"/>
    </row>
    <row r="2476" spans="9:39" x14ac:dyDescent="0.3">
      <c r="I2476" s="12"/>
      <c r="N2476" s="12"/>
      <c r="S2476" s="12"/>
      <c r="X2476" s="12"/>
      <c r="AM2476" s="12"/>
    </row>
    <row r="2477" spans="9:39" x14ac:dyDescent="0.3">
      <c r="I2477" s="12"/>
      <c r="N2477" s="12"/>
      <c r="S2477" s="12"/>
      <c r="X2477" s="12"/>
      <c r="AM2477" s="12"/>
    </row>
    <row r="2478" spans="9:39" x14ac:dyDescent="0.3">
      <c r="I2478" s="12"/>
      <c r="N2478" s="12"/>
      <c r="S2478" s="12"/>
      <c r="X2478" s="12"/>
      <c r="AM2478" s="12"/>
    </row>
    <row r="2479" spans="9:39" x14ac:dyDescent="0.3">
      <c r="I2479" s="12"/>
      <c r="N2479" s="12"/>
      <c r="S2479" s="12"/>
      <c r="X2479" s="12"/>
      <c r="AM2479" s="12"/>
    </row>
    <row r="2480" spans="9:39" x14ac:dyDescent="0.3">
      <c r="I2480" s="12"/>
      <c r="N2480" s="12"/>
      <c r="S2480" s="12"/>
      <c r="X2480" s="12"/>
      <c r="AM2480" s="12"/>
    </row>
    <row r="2481" spans="9:39" x14ac:dyDescent="0.3">
      <c r="I2481" s="12"/>
      <c r="N2481" s="12"/>
      <c r="S2481" s="12"/>
      <c r="X2481" s="12"/>
      <c r="AM2481" s="12"/>
    </row>
    <row r="2482" spans="9:39" x14ac:dyDescent="0.3">
      <c r="I2482" s="12"/>
      <c r="N2482" s="12"/>
      <c r="S2482" s="12"/>
      <c r="X2482" s="12"/>
      <c r="AM2482" s="12"/>
    </row>
    <row r="2483" spans="9:39" x14ac:dyDescent="0.3">
      <c r="I2483" s="12"/>
      <c r="N2483" s="12"/>
      <c r="S2483" s="12"/>
      <c r="X2483" s="12"/>
      <c r="AM2483" s="12"/>
    </row>
    <row r="2484" spans="9:39" x14ac:dyDescent="0.3">
      <c r="I2484" s="12"/>
      <c r="N2484" s="12"/>
      <c r="S2484" s="12"/>
      <c r="X2484" s="12"/>
      <c r="AM2484" s="12"/>
    </row>
    <row r="2485" spans="9:39" x14ac:dyDescent="0.3">
      <c r="I2485" s="12"/>
      <c r="N2485" s="12"/>
      <c r="S2485" s="12"/>
      <c r="X2485" s="12"/>
      <c r="AM2485" s="12"/>
    </row>
    <row r="2486" spans="9:39" x14ac:dyDescent="0.3">
      <c r="I2486" s="12"/>
      <c r="N2486" s="12"/>
      <c r="S2486" s="12"/>
      <c r="X2486" s="12"/>
      <c r="AM2486" s="12"/>
    </row>
    <row r="2487" spans="9:39" x14ac:dyDescent="0.3">
      <c r="I2487" s="12"/>
      <c r="N2487" s="12"/>
      <c r="S2487" s="12"/>
      <c r="X2487" s="12"/>
      <c r="AM2487" s="12"/>
    </row>
    <row r="2488" spans="9:39" x14ac:dyDescent="0.3">
      <c r="I2488" s="12"/>
      <c r="N2488" s="12"/>
      <c r="S2488" s="12"/>
      <c r="X2488" s="12"/>
      <c r="AM2488" s="12"/>
    </row>
    <row r="2489" spans="9:39" x14ac:dyDescent="0.3">
      <c r="I2489" s="12"/>
      <c r="N2489" s="12"/>
      <c r="S2489" s="12"/>
      <c r="X2489" s="12"/>
      <c r="AM2489" s="12"/>
    </row>
    <row r="2490" spans="9:39" x14ac:dyDescent="0.3">
      <c r="I2490" s="12"/>
      <c r="N2490" s="12"/>
      <c r="S2490" s="12"/>
      <c r="X2490" s="12"/>
      <c r="AM2490" s="12"/>
    </row>
    <row r="2491" spans="9:39" x14ac:dyDescent="0.3">
      <c r="I2491" s="12"/>
      <c r="N2491" s="12"/>
      <c r="S2491" s="12"/>
      <c r="X2491" s="12"/>
      <c r="AM2491" s="12"/>
    </row>
    <row r="2492" spans="9:39" x14ac:dyDescent="0.3">
      <c r="I2492" s="12"/>
      <c r="N2492" s="12"/>
      <c r="S2492" s="12"/>
      <c r="X2492" s="12"/>
      <c r="AM2492" s="12"/>
    </row>
    <row r="2493" spans="9:39" x14ac:dyDescent="0.3">
      <c r="I2493" s="12"/>
      <c r="N2493" s="12"/>
      <c r="S2493" s="12"/>
      <c r="X2493" s="12"/>
      <c r="AM2493" s="12"/>
    </row>
    <row r="2494" spans="9:39" x14ac:dyDescent="0.3">
      <c r="I2494" s="12"/>
      <c r="N2494" s="12"/>
      <c r="S2494" s="12"/>
      <c r="X2494" s="12"/>
      <c r="AM2494" s="12"/>
    </row>
    <row r="2495" spans="9:39" x14ac:dyDescent="0.3">
      <c r="I2495" s="12"/>
      <c r="N2495" s="12"/>
      <c r="S2495" s="12"/>
      <c r="X2495" s="12"/>
      <c r="AM2495" s="12"/>
    </row>
    <row r="2496" spans="9:39" x14ac:dyDescent="0.3">
      <c r="I2496" s="12"/>
      <c r="N2496" s="12"/>
      <c r="S2496" s="12"/>
      <c r="X2496" s="12"/>
      <c r="AM2496" s="12"/>
    </row>
    <row r="2497" spans="9:39" x14ac:dyDescent="0.3">
      <c r="I2497" s="12"/>
      <c r="N2497" s="12"/>
      <c r="S2497" s="12"/>
      <c r="X2497" s="12"/>
      <c r="AM2497" s="12"/>
    </row>
    <row r="2498" spans="9:39" x14ac:dyDescent="0.3">
      <c r="I2498" s="12"/>
      <c r="N2498" s="12"/>
      <c r="S2498" s="12"/>
      <c r="X2498" s="12"/>
      <c r="AM2498" s="12"/>
    </row>
    <row r="2499" spans="9:39" x14ac:dyDescent="0.3">
      <c r="I2499" s="12"/>
      <c r="N2499" s="12"/>
      <c r="S2499" s="12"/>
      <c r="X2499" s="12"/>
      <c r="AM2499" s="12"/>
    </row>
    <row r="2500" spans="9:39" x14ac:dyDescent="0.3">
      <c r="I2500" s="12"/>
      <c r="N2500" s="12"/>
      <c r="S2500" s="12"/>
      <c r="X2500" s="12"/>
      <c r="AM2500" s="12"/>
    </row>
    <row r="2501" spans="9:39" x14ac:dyDescent="0.3">
      <c r="I2501" s="12"/>
      <c r="N2501" s="12"/>
      <c r="S2501" s="12"/>
      <c r="X2501" s="12"/>
      <c r="AM2501" s="12"/>
    </row>
    <row r="2502" spans="9:39" x14ac:dyDescent="0.3">
      <c r="I2502" s="12"/>
      <c r="N2502" s="12"/>
      <c r="S2502" s="12"/>
      <c r="X2502" s="12"/>
      <c r="AM2502" s="12"/>
    </row>
    <row r="2503" spans="9:39" x14ac:dyDescent="0.3">
      <c r="I2503" s="12"/>
      <c r="N2503" s="12"/>
      <c r="S2503" s="12"/>
      <c r="X2503" s="12"/>
      <c r="AM2503" s="12"/>
    </row>
    <row r="2504" spans="9:39" x14ac:dyDescent="0.3">
      <c r="I2504" s="12"/>
      <c r="N2504" s="12"/>
      <c r="S2504" s="12"/>
      <c r="X2504" s="12"/>
      <c r="AM2504" s="12"/>
    </row>
    <row r="2505" spans="9:39" x14ac:dyDescent="0.3">
      <c r="I2505" s="12"/>
      <c r="N2505" s="12"/>
      <c r="S2505" s="12"/>
      <c r="X2505" s="12"/>
      <c r="AM2505" s="12"/>
    </row>
    <row r="2506" spans="9:39" x14ac:dyDescent="0.3">
      <c r="I2506" s="12"/>
      <c r="N2506" s="12"/>
      <c r="S2506" s="12"/>
      <c r="X2506" s="12"/>
      <c r="AM2506" s="12"/>
    </row>
    <row r="2507" spans="9:39" x14ac:dyDescent="0.3">
      <c r="I2507" s="12"/>
      <c r="N2507" s="12"/>
      <c r="S2507" s="12"/>
      <c r="X2507" s="12"/>
      <c r="AM2507" s="12"/>
    </row>
    <row r="2508" spans="9:39" x14ac:dyDescent="0.3">
      <c r="I2508" s="12"/>
      <c r="N2508" s="12"/>
      <c r="S2508" s="12"/>
      <c r="X2508" s="12"/>
      <c r="AM2508" s="12"/>
    </row>
    <row r="2509" spans="9:39" x14ac:dyDescent="0.3">
      <c r="I2509" s="12"/>
      <c r="N2509" s="12"/>
      <c r="S2509" s="12"/>
      <c r="X2509" s="12"/>
      <c r="AM2509" s="12"/>
    </row>
    <row r="2510" spans="9:39" x14ac:dyDescent="0.3">
      <c r="I2510" s="12"/>
      <c r="N2510" s="12"/>
      <c r="S2510" s="12"/>
      <c r="X2510" s="12"/>
      <c r="AM2510" s="12"/>
    </row>
    <row r="2511" spans="9:39" x14ac:dyDescent="0.3">
      <c r="I2511" s="12"/>
      <c r="N2511" s="12"/>
      <c r="S2511" s="12"/>
      <c r="X2511" s="12"/>
      <c r="AM2511" s="12"/>
    </row>
    <row r="2512" spans="9:39" x14ac:dyDescent="0.3">
      <c r="I2512" s="12"/>
      <c r="N2512" s="12"/>
      <c r="S2512" s="12"/>
      <c r="X2512" s="12"/>
      <c r="AM2512" s="12"/>
    </row>
    <row r="2513" spans="9:39" x14ac:dyDescent="0.3">
      <c r="I2513" s="12"/>
      <c r="N2513" s="12"/>
      <c r="S2513" s="12"/>
      <c r="X2513" s="12"/>
      <c r="AM2513" s="12"/>
    </row>
    <row r="2514" spans="9:39" x14ac:dyDescent="0.3">
      <c r="I2514" s="12"/>
      <c r="N2514" s="12"/>
      <c r="S2514" s="12"/>
      <c r="X2514" s="12"/>
      <c r="AM2514" s="12"/>
    </row>
    <row r="2515" spans="9:39" x14ac:dyDescent="0.3">
      <c r="I2515" s="12"/>
      <c r="N2515" s="12"/>
      <c r="S2515" s="12"/>
      <c r="X2515" s="12"/>
      <c r="AM2515" s="12"/>
    </row>
    <row r="2516" spans="9:39" x14ac:dyDescent="0.3">
      <c r="I2516" s="12"/>
      <c r="N2516" s="12"/>
      <c r="S2516" s="12"/>
      <c r="X2516" s="12"/>
      <c r="AM2516" s="12"/>
    </row>
    <row r="2517" spans="9:39" x14ac:dyDescent="0.3">
      <c r="I2517" s="12"/>
      <c r="N2517" s="12"/>
      <c r="S2517" s="12"/>
      <c r="X2517" s="12"/>
      <c r="AM2517" s="12"/>
    </row>
    <row r="2518" spans="9:39" x14ac:dyDescent="0.3">
      <c r="I2518" s="12"/>
      <c r="N2518" s="12"/>
      <c r="S2518" s="12"/>
      <c r="X2518" s="12"/>
      <c r="AM2518" s="12"/>
    </row>
    <row r="2519" spans="9:39" x14ac:dyDescent="0.3">
      <c r="I2519" s="12"/>
      <c r="N2519" s="12"/>
      <c r="S2519" s="12"/>
      <c r="X2519" s="12"/>
      <c r="AM2519" s="12"/>
    </row>
    <row r="2520" spans="9:39" x14ac:dyDescent="0.3">
      <c r="I2520" s="12"/>
      <c r="N2520" s="12"/>
      <c r="S2520" s="12"/>
      <c r="X2520" s="12"/>
      <c r="AM2520" s="12"/>
    </row>
    <row r="2521" spans="9:39" x14ac:dyDescent="0.3">
      <c r="I2521" s="12"/>
      <c r="N2521" s="12"/>
      <c r="S2521" s="12"/>
      <c r="X2521" s="12"/>
      <c r="AM2521" s="12"/>
    </row>
    <row r="2522" spans="9:39" x14ac:dyDescent="0.3">
      <c r="I2522" s="12"/>
      <c r="N2522" s="12"/>
      <c r="S2522" s="12"/>
      <c r="X2522" s="12"/>
      <c r="AM2522" s="12"/>
    </row>
    <row r="2523" spans="9:39" x14ac:dyDescent="0.3">
      <c r="I2523" s="12"/>
      <c r="N2523" s="12"/>
      <c r="S2523" s="12"/>
      <c r="X2523" s="12"/>
      <c r="AM2523" s="12"/>
    </row>
    <row r="2524" spans="9:39" x14ac:dyDescent="0.3">
      <c r="I2524" s="12"/>
      <c r="N2524" s="12"/>
      <c r="S2524" s="12"/>
      <c r="X2524" s="12"/>
      <c r="AM2524" s="12"/>
    </row>
    <row r="2525" spans="9:39" x14ac:dyDescent="0.3">
      <c r="I2525" s="12"/>
      <c r="N2525" s="12"/>
      <c r="S2525" s="12"/>
      <c r="X2525" s="12"/>
      <c r="AM2525" s="12"/>
    </row>
    <row r="2526" spans="9:39" x14ac:dyDescent="0.3">
      <c r="I2526" s="12"/>
      <c r="N2526" s="12"/>
      <c r="S2526" s="12"/>
      <c r="X2526" s="12"/>
      <c r="AM2526" s="12"/>
    </row>
    <row r="2527" spans="9:39" x14ac:dyDescent="0.3">
      <c r="I2527" s="12"/>
      <c r="N2527" s="12"/>
      <c r="S2527" s="12"/>
      <c r="X2527" s="12"/>
      <c r="AM2527" s="12"/>
    </row>
    <row r="2528" spans="9:39" x14ac:dyDescent="0.3">
      <c r="I2528" s="12"/>
      <c r="N2528" s="12"/>
      <c r="S2528" s="12"/>
      <c r="X2528" s="12"/>
      <c r="AM2528" s="12"/>
    </row>
    <row r="2529" spans="9:39" x14ac:dyDescent="0.3">
      <c r="I2529" s="12"/>
      <c r="N2529" s="12"/>
      <c r="S2529" s="12"/>
      <c r="X2529" s="12"/>
      <c r="AM2529" s="12"/>
    </row>
    <row r="2530" spans="9:39" x14ac:dyDescent="0.3">
      <c r="I2530" s="12"/>
      <c r="N2530" s="12"/>
      <c r="S2530" s="12"/>
      <c r="X2530" s="12"/>
      <c r="AM2530" s="12"/>
    </row>
    <row r="2531" spans="9:39" x14ac:dyDescent="0.3">
      <c r="I2531" s="12"/>
      <c r="N2531" s="12"/>
      <c r="S2531" s="12"/>
      <c r="X2531" s="12"/>
      <c r="AM2531" s="12"/>
    </row>
    <row r="2532" spans="9:39" x14ac:dyDescent="0.3">
      <c r="I2532" s="12"/>
      <c r="N2532" s="12"/>
      <c r="S2532" s="12"/>
      <c r="X2532" s="12"/>
      <c r="AM2532" s="12"/>
    </row>
    <row r="2533" spans="9:39" x14ac:dyDescent="0.3">
      <c r="I2533" s="12"/>
      <c r="N2533" s="12"/>
      <c r="S2533" s="12"/>
      <c r="X2533" s="12"/>
      <c r="AM2533" s="12"/>
    </row>
    <row r="2534" spans="9:39" x14ac:dyDescent="0.3">
      <c r="I2534" s="12"/>
      <c r="N2534" s="12"/>
      <c r="S2534" s="12"/>
      <c r="X2534" s="12"/>
      <c r="AM2534" s="12"/>
    </row>
    <row r="2535" spans="9:39" x14ac:dyDescent="0.3">
      <c r="I2535" s="12"/>
      <c r="N2535" s="12"/>
      <c r="S2535" s="12"/>
      <c r="X2535" s="12"/>
      <c r="AM2535" s="12"/>
    </row>
    <row r="2536" spans="9:39" x14ac:dyDescent="0.3">
      <c r="I2536" s="12"/>
      <c r="N2536" s="12"/>
      <c r="S2536" s="12"/>
      <c r="X2536" s="12"/>
      <c r="AM2536" s="12"/>
    </row>
    <row r="2537" spans="9:39" x14ac:dyDescent="0.3">
      <c r="I2537" s="12"/>
      <c r="N2537" s="12"/>
      <c r="S2537" s="12"/>
      <c r="X2537" s="12"/>
      <c r="AM2537" s="12"/>
    </row>
    <row r="2538" spans="9:39" x14ac:dyDescent="0.3">
      <c r="I2538" s="12"/>
      <c r="N2538" s="12"/>
      <c r="S2538" s="12"/>
      <c r="X2538" s="12"/>
      <c r="AM2538" s="12"/>
    </row>
    <row r="2539" spans="9:39" x14ac:dyDescent="0.3">
      <c r="I2539" s="12"/>
      <c r="N2539" s="12"/>
      <c r="S2539" s="12"/>
      <c r="X2539" s="12"/>
      <c r="AM2539" s="12"/>
    </row>
    <row r="2540" spans="9:39" x14ac:dyDescent="0.3">
      <c r="I2540" s="12"/>
      <c r="N2540" s="12"/>
      <c r="S2540" s="12"/>
      <c r="X2540" s="12"/>
      <c r="AM2540" s="12"/>
    </row>
    <row r="2541" spans="9:39" x14ac:dyDescent="0.3">
      <c r="I2541" s="12"/>
      <c r="N2541" s="12"/>
      <c r="S2541" s="12"/>
      <c r="X2541" s="12"/>
      <c r="AM2541" s="12"/>
    </row>
    <row r="2542" spans="9:39" x14ac:dyDescent="0.3">
      <c r="I2542" s="12"/>
      <c r="N2542" s="12"/>
      <c r="S2542" s="12"/>
      <c r="X2542" s="12"/>
      <c r="AM2542" s="12"/>
    </row>
    <row r="2543" spans="9:39" x14ac:dyDescent="0.3">
      <c r="I2543" s="12"/>
      <c r="N2543" s="12"/>
      <c r="S2543" s="12"/>
      <c r="X2543" s="12"/>
      <c r="AM2543" s="12"/>
    </row>
    <row r="2544" spans="9:39" x14ac:dyDescent="0.3">
      <c r="I2544" s="12"/>
      <c r="N2544" s="12"/>
      <c r="S2544" s="12"/>
      <c r="X2544" s="12"/>
      <c r="AM2544" s="12"/>
    </row>
    <row r="2545" spans="9:39" x14ac:dyDescent="0.3">
      <c r="I2545" s="12"/>
      <c r="N2545" s="12"/>
      <c r="S2545" s="12"/>
      <c r="X2545" s="12"/>
      <c r="AM2545" s="12"/>
    </row>
    <row r="2546" spans="9:39" x14ac:dyDescent="0.3">
      <c r="I2546" s="12"/>
      <c r="N2546" s="12"/>
      <c r="S2546" s="12"/>
      <c r="X2546" s="12"/>
      <c r="AM2546" s="12"/>
    </row>
    <row r="2547" spans="9:39" x14ac:dyDescent="0.3">
      <c r="I2547" s="12"/>
      <c r="N2547" s="12"/>
      <c r="S2547" s="12"/>
      <c r="X2547" s="12"/>
      <c r="AM2547" s="12"/>
    </row>
    <row r="2548" spans="9:39" x14ac:dyDescent="0.3">
      <c r="I2548" s="12"/>
      <c r="N2548" s="12"/>
      <c r="S2548" s="12"/>
      <c r="X2548" s="12"/>
      <c r="AM2548" s="12"/>
    </row>
    <row r="2549" spans="9:39" x14ac:dyDescent="0.3">
      <c r="I2549" s="12"/>
      <c r="N2549" s="12"/>
      <c r="S2549" s="12"/>
      <c r="X2549" s="12"/>
      <c r="AM2549" s="12"/>
    </row>
    <row r="2550" spans="9:39" x14ac:dyDescent="0.3">
      <c r="I2550" s="12"/>
      <c r="N2550" s="12"/>
      <c r="S2550" s="12"/>
      <c r="X2550" s="12"/>
      <c r="AM2550" s="12"/>
    </row>
    <row r="2551" spans="9:39" x14ac:dyDescent="0.3">
      <c r="I2551" s="12"/>
      <c r="N2551" s="12"/>
      <c r="S2551" s="12"/>
      <c r="X2551" s="12"/>
      <c r="AM2551" s="12"/>
    </row>
    <row r="2552" spans="9:39" x14ac:dyDescent="0.3">
      <c r="I2552" s="12"/>
      <c r="N2552" s="12"/>
      <c r="S2552" s="12"/>
      <c r="X2552" s="12"/>
      <c r="AM2552" s="12"/>
    </row>
    <row r="2553" spans="9:39" x14ac:dyDescent="0.3">
      <c r="I2553" s="12"/>
      <c r="N2553" s="12"/>
      <c r="S2553" s="12"/>
      <c r="X2553" s="12"/>
      <c r="AM2553" s="12"/>
    </row>
    <row r="2554" spans="9:39" x14ac:dyDescent="0.3">
      <c r="I2554" s="12"/>
      <c r="N2554" s="12"/>
      <c r="S2554" s="12"/>
      <c r="X2554" s="12"/>
      <c r="AM2554" s="12"/>
    </row>
    <row r="2555" spans="9:39" x14ac:dyDescent="0.3">
      <c r="I2555" s="12"/>
      <c r="N2555" s="12"/>
      <c r="S2555" s="12"/>
      <c r="X2555" s="12"/>
      <c r="AM2555" s="12"/>
    </row>
    <row r="2556" spans="9:39" x14ac:dyDescent="0.3">
      <c r="I2556" s="12"/>
      <c r="N2556" s="12"/>
      <c r="S2556" s="12"/>
      <c r="X2556" s="12"/>
      <c r="AM2556" s="12"/>
    </row>
    <row r="2557" spans="9:39" x14ac:dyDescent="0.3">
      <c r="I2557" s="12"/>
      <c r="N2557" s="12"/>
      <c r="S2557" s="12"/>
      <c r="X2557" s="12"/>
      <c r="AM2557" s="12"/>
    </row>
    <row r="2558" spans="9:39" x14ac:dyDescent="0.3">
      <c r="I2558" s="12"/>
      <c r="N2558" s="12"/>
      <c r="S2558" s="12"/>
      <c r="X2558" s="12"/>
      <c r="AM2558" s="12"/>
    </row>
    <row r="2559" spans="9:39" x14ac:dyDescent="0.3">
      <c r="I2559" s="12"/>
      <c r="N2559" s="12"/>
      <c r="S2559" s="12"/>
      <c r="X2559" s="12"/>
      <c r="AM2559" s="12"/>
    </row>
    <row r="2560" spans="9:39" x14ac:dyDescent="0.3">
      <c r="I2560" s="12"/>
      <c r="N2560" s="12"/>
      <c r="S2560" s="12"/>
      <c r="X2560" s="12"/>
      <c r="AM2560" s="12"/>
    </row>
    <row r="2561" spans="9:39" x14ac:dyDescent="0.3">
      <c r="I2561" s="12"/>
      <c r="N2561" s="12"/>
      <c r="S2561" s="12"/>
      <c r="X2561" s="12"/>
      <c r="AM2561" s="12"/>
    </row>
    <row r="2562" spans="9:39" x14ac:dyDescent="0.3">
      <c r="I2562" s="12"/>
      <c r="N2562" s="12"/>
      <c r="S2562" s="12"/>
      <c r="X2562" s="12"/>
      <c r="AM2562" s="12"/>
    </row>
    <row r="2563" spans="9:39" x14ac:dyDescent="0.3">
      <c r="I2563" s="12"/>
      <c r="N2563" s="12"/>
      <c r="S2563" s="12"/>
      <c r="X2563" s="12"/>
      <c r="AM2563" s="12"/>
    </row>
    <row r="2564" spans="9:39" x14ac:dyDescent="0.3">
      <c r="I2564" s="12"/>
      <c r="N2564" s="12"/>
      <c r="S2564" s="12"/>
      <c r="X2564" s="12"/>
      <c r="AM2564" s="12"/>
    </row>
    <row r="2565" spans="9:39" x14ac:dyDescent="0.3">
      <c r="I2565" s="12"/>
      <c r="N2565" s="12"/>
      <c r="S2565" s="12"/>
      <c r="X2565" s="12"/>
      <c r="AM2565" s="12"/>
    </row>
    <row r="2566" spans="9:39" x14ac:dyDescent="0.3">
      <c r="I2566" s="12"/>
      <c r="N2566" s="12"/>
      <c r="S2566" s="12"/>
      <c r="X2566" s="12"/>
      <c r="AM2566" s="12"/>
    </row>
    <row r="2567" spans="9:39" x14ac:dyDescent="0.3">
      <c r="I2567" s="12"/>
      <c r="N2567" s="12"/>
      <c r="S2567" s="12"/>
      <c r="X2567" s="12"/>
      <c r="AM2567" s="12"/>
    </row>
    <row r="2568" spans="9:39" x14ac:dyDescent="0.3">
      <c r="I2568" s="12"/>
      <c r="N2568" s="12"/>
      <c r="S2568" s="12"/>
      <c r="X2568" s="12"/>
      <c r="AM2568" s="12"/>
    </row>
    <row r="2569" spans="9:39" x14ac:dyDescent="0.3">
      <c r="I2569" s="12"/>
      <c r="N2569" s="12"/>
      <c r="S2569" s="12"/>
      <c r="X2569" s="12"/>
      <c r="AM2569" s="12"/>
    </row>
    <row r="2570" spans="9:39" x14ac:dyDescent="0.3">
      <c r="I2570" s="12"/>
      <c r="N2570" s="12"/>
      <c r="S2570" s="12"/>
      <c r="X2570" s="12"/>
      <c r="AM2570" s="12"/>
    </row>
    <row r="2571" spans="9:39" x14ac:dyDescent="0.3">
      <c r="I2571" s="12"/>
      <c r="N2571" s="12"/>
      <c r="S2571" s="12"/>
      <c r="X2571" s="12"/>
      <c r="AM2571" s="12"/>
    </row>
    <row r="2572" spans="9:39" x14ac:dyDescent="0.3">
      <c r="I2572" s="12"/>
      <c r="N2572" s="12"/>
      <c r="S2572" s="12"/>
      <c r="X2572" s="12"/>
      <c r="AM2572" s="12"/>
    </row>
    <row r="2573" spans="9:39" x14ac:dyDescent="0.3">
      <c r="I2573" s="12"/>
      <c r="N2573" s="12"/>
      <c r="S2573" s="12"/>
      <c r="X2573" s="12"/>
      <c r="AM2573" s="12"/>
    </row>
    <row r="2574" spans="9:39" x14ac:dyDescent="0.3">
      <c r="I2574" s="12"/>
      <c r="N2574" s="12"/>
      <c r="S2574" s="12"/>
      <c r="X2574" s="12"/>
      <c r="AM2574" s="12"/>
    </row>
    <row r="2575" spans="9:39" x14ac:dyDescent="0.3">
      <c r="I2575" s="12"/>
      <c r="N2575" s="12"/>
      <c r="S2575" s="12"/>
      <c r="X2575" s="12"/>
      <c r="AM2575" s="12"/>
    </row>
    <row r="2576" spans="9:39" x14ac:dyDescent="0.3">
      <c r="I2576" s="12"/>
      <c r="N2576" s="12"/>
      <c r="S2576" s="12"/>
      <c r="X2576" s="12"/>
      <c r="AM2576" s="12"/>
    </row>
    <row r="2577" spans="9:39" x14ac:dyDescent="0.3">
      <c r="I2577" s="12"/>
      <c r="N2577" s="12"/>
      <c r="S2577" s="12"/>
      <c r="X2577" s="12"/>
      <c r="AM2577" s="12"/>
    </row>
    <row r="2578" spans="9:39" x14ac:dyDescent="0.3">
      <c r="I2578" s="12"/>
      <c r="N2578" s="12"/>
      <c r="S2578" s="12"/>
      <c r="X2578" s="12"/>
      <c r="AM2578" s="12"/>
    </row>
    <row r="2579" spans="9:39" x14ac:dyDescent="0.3">
      <c r="I2579" s="12"/>
      <c r="N2579" s="12"/>
      <c r="S2579" s="12"/>
      <c r="X2579" s="12"/>
      <c r="AM2579" s="12"/>
    </row>
    <row r="2580" spans="9:39" x14ac:dyDescent="0.3">
      <c r="I2580" s="12"/>
      <c r="N2580" s="12"/>
      <c r="S2580" s="12"/>
      <c r="X2580" s="12"/>
      <c r="AM2580" s="12"/>
    </row>
    <row r="2581" spans="9:39" x14ac:dyDescent="0.3">
      <c r="I2581" s="12"/>
      <c r="N2581" s="12"/>
      <c r="S2581" s="12"/>
      <c r="X2581" s="12"/>
      <c r="AM2581" s="12"/>
    </row>
    <row r="2582" spans="9:39" x14ac:dyDescent="0.3">
      <c r="I2582" s="12"/>
      <c r="N2582" s="12"/>
      <c r="S2582" s="12"/>
      <c r="X2582" s="12"/>
      <c r="AM2582" s="12"/>
    </row>
    <row r="2583" spans="9:39" x14ac:dyDescent="0.3">
      <c r="I2583" s="12"/>
      <c r="N2583" s="12"/>
      <c r="S2583" s="12"/>
      <c r="X2583" s="12"/>
      <c r="AM2583" s="12"/>
    </row>
    <row r="2584" spans="9:39" x14ac:dyDescent="0.3">
      <c r="I2584" s="12"/>
      <c r="N2584" s="12"/>
      <c r="S2584" s="12"/>
      <c r="X2584" s="12"/>
      <c r="AM2584" s="12"/>
    </row>
    <row r="2585" spans="9:39" x14ac:dyDescent="0.3">
      <c r="I2585" s="12"/>
      <c r="N2585" s="12"/>
      <c r="S2585" s="12"/>
      <c r="X2585" s="12"/>
      <c r="AM2585" s="12"/>
    </row>
    <row r="2586" spans="9:39" x14ac:dyDescent="0.3">
      <c r="I2586" s="12"/>
      <c r="N2586" s="12"/>
      <c r="S2586" s="12"/>
      <c r="X2586" s="12"/>
      <c r="AM2586" s="12"/>
    </row>
    <row r="2587" spans="9:39" x14ac:dyDescent="0.3">
      <c r="I2587" s="12"/>
      <c r="N2587" s="12"/>
      <c r="S2587" s="12"/>
      <c r="X2587" s="12"/>
      <c r="AM2587" s="12"/>
    </row>
    <row r="2588" spans="9:39" x14ac:dyDescent="0.3">
      <c r="I2588" s="12"/>
      <c r="N2588" s="12"/>
      <c r="S2588" s="12"/>
      <c r="X2588" s="12"/>
      <c r="AM2588" s="12"/>
    </row>
    <row r="2589" spans="9:39" x14ac:dyDescent="0.3">
      <c r="I2589" s="12"/>
      <c r="N2589" s="12"/>
      <c r="S2589" s="12"/>
      <c r="X2589" s="12"/>
      <c r="AM2589" s="12"/>
    </row>
    <row r="2590" spans="9:39" x14ac:dyDescent="0.3">
      <c r="I2590" s="12"/>
      <c r="N2590" s="12"/>
      <c r="S2590" s="12"/>
      <c r="X2590" s="12"/>
      <c r="AM2590" s="12"/>
    </row>
    <row r="2591" spans="9:39" x14ac:dyDescent="0.3">
      <c r="I2591" s="12"/>
      <c r="N2591" s="12"/>
      <c r="S2591" s="12"/>
      <c r="X2591" s="12"/>
      <c r="AM2591" s="12"/>
    </row>
    <row r="2592" spans="9:39" x14ac:dyDescent="0.3">
      <c r="I2592" s="12"/>
      <c r="N2592" s="12"/>
      <c r="S2592" s="12"/>
      <c r="X2592" s="12"/>
      <c r="AM2592" s="12"/>
    </row>
    <row r="2593" spans="9:39" x14ac:dyDescent="0.3">
      <c r="I2593" s="12"/>
      <c r="N2593" s="12"/>
      <c r="S2593" s="12"/>
      <c r="X2593" s="12"/>
      <c r="AM2593" s="12"/>
    </row>
    <row r="2594" spans="9:39" x14ac:dyDescent="0.3">
      <c r="I2594" s="12"/>
      <c r="N2594" s="12"/>
      <c r="S2594" s="12"/>
      <c r="X2594" s="12"/>
      <c r="AM2594" s="12"/>
    </row>
    <row r="2595" spans="9:39" x14ac:dyDescent="0.3">
      <c r="I2595" s="12"/>
      <c r="N2595" s="12"/>
      <c r="S2595" s="12"/>
      <c r="X2595" s="12"/>
      <c r="AM2595" s="12"/>
    </row>
    <row r="2596" spans="9:39" x14ac:dyDescent="0.3">
      <c r="I2596" s="12"/>
      <c r="N2596" s="12"/>
      <c r="S2596" s="12"/>
      <c r="X2596" s="12"/>
      <c r="AM2596" s="12"/>
    </row>
    <row r="2597" spans="9:39" x14ac:dyDescent="0.3">
      <c r="I2597" s="12"/>
      <c r="N2597" s="12"/>
      <c r="S2597" s="12"/>
      <c r="X2597" s="12"/>
      <c r="AM2597" s="12"/>
    </row>
    <row r="2598" spans="9:39" x14ac:dyDescent="0.3">
      <c r="I2598" s="12"/>
      <c r="N2598" s="12"/>
      <c r="S2598" s="12"/>
      <c r="X2598" s="12"/>
      <c r="AM2598" s="12"/>
    </row>
    <row r="2599" spans="9:39" x14ac:dyDescent="0.3">
      <c r="I2599" s="12"/>
      <c r="N2599" s="12"/>
      <c r="S2599" s="12"/>
      <c r="X2599" s="12"/>
      <c r="AM2599" s="12"/>
    </row>
    <row r="2600" spans="9:39" x14ac:dyDescent="0.3">
      <c r="I2600" s="12"/>
      <c r="N2600" s="12"/>
      <c r="S2600" s="12"/>
      <c r="X2600" s="12"/>
      <c r="AM2600" s="12"/>
    </row>
    <row r="2601" spans="9:39" x14ac:dyDescent="0.3">
      <c r="I2601" s="12"/>
      <c r="N2601" s="12"/>
      <c r="S2601" s="12"/>
      <c r="X2601" s="12"/>
      <c r="AM2601" s="12"/>
    </row>
    <row r="2602" spans="9:39" x14ac:dyDescent="0.3">
      <c r="I2602" s="12"/>
      <c r="N2602" s="12"/>
      <c r="S2602" s="12"/>
      <c r="X2602" s="12"/>
      <c r="AM2602" s="12"/>
    </row>
    <row r="2603" spans="9:39" x14ac:dyDescent="0.3">
      <c r="I2603" s="12"/>
      <c r="N2603" s="12"/>
      <c r="S2603" s="12"/>
      <c r="X2603" s="12"/>
      <c r="AM2603" s="12"/>
    </row>
    <row r="2604" spans="9:39" x14ac:dyDescent="0.3">
      <c r="I2604" s="12"/>
      <c r="N2604" s="12"/>
      <c r="S2604" s="12"/>
      <c r="X2604" s="12"/>
      <c r="AM2604" s="12"/>
    </row>
    <row r="2605" spans="9:39" x14ac:dyDescent="0.3">
      <c r="I2605" s="12"/>
      <c r="N2605" s="12"/>
      <c r="S2605" s="12"/>
      <c r="X2605" s="12"/>
      <c r="AM2605" s="12"/>
    </row>
    <row r="2606" spans="9:39" x14ac:dyDescent="0.3">
      <c r="I2606" s="12"/>
      <c r="N2606" s="12"/>
      <c r="S2606" s="12"/>
      <c r="X2606" s="12"/>
      <c r="AM2606" s="12"/>
    </row>
    <row r="2607" spans="9:39" x14ac:dyDescent="0.3">
      <c r="I2607" s="12"/>
      <c r="N2607" s="12"/>
      <c r="S2607" s="12"/>
      <c r="X2607" s="12"/>
      <c r="AM2607" s="12"/>
    </row>
    <row r="2608" spans="9:39" x14ac:dyDescent="0.3">
      <c r="I2608" s="12"/>
      <c r="N2608" s="12"/>
      <c r="S2608" s="12"/>
      <c r="X2608" s="12"/>
      <c r="AM2608" s="12"/>
    </row>
    <row r="2609" spans="9:39" x14ac:dyDescent="0.3">
      <c r="I2609" s="12"/>
      <c r="N2609" s="12"/>
      <c r="S2609" s="12"/>
      <c r="X2609" s="12"/>
      <c r="AM2609" s="12"/>
    </row>
    <row r="2610" spans="9:39" x14ac:dyDescent="0.3">
      <c r="I2610" s="12"/>
      <c r="N2610" s="12"/>
      <c r="S2610" s="12"/>
      <c r="X2610" s="12"/>
      <c r="AM2610" s="12"/>
    </row>
    <row r="2611" spans="9:39" x14ac:dyDescent="0.3">
      <c r="I2611" s="12"/>
      <c r="N2611" s="12"/>
      <c r="S2611" s="12"/>
      <c r="X2611" s="12"/>
      <c r="AM2611" s="12"/>
    </row>
    <row r="2612" spans="9:39" x14ac:dyDescent="0.3">
      <c r="I2612" s="12"/>
      <c r="N2612" s="12"/>
      <c r="S2612" s="12"/>
      <c r="X2612" s="12"/>
      <c r="AM2612" s="12"/>
    </row>
    <row r="2613" spans="9:39" x14ac:dyDescent="0.3">
      <c r="I2613" s="12"/>
      <c r="N2613" s="12"/>
      <c r="S2613" s="12"/>
      <c r="X2613" s="12"/>
      <c r="AM2613" s="12"/>
    </row>
    <row r="2614" spans="9:39" x14ac:dyDescent="0.3">
      <c r="I2614" s="12"/>
      <c r="N2614" s="12"/>
      <c r="S2614" s="12"/>
      <c r="X2614" s="12"/>
      <c r="AM2614" s="12"/>
    </row>
    <row r="2615" spans="9:39" x14ac:dyDescent="0.3">
      <c r="I2615" s="12"/>
      <c r="N2615" s="12"/>
      <c r="S2615" s="12"/>
      <c r="X2615" s="12"/>
      <c r="AM2615" s="12"/>
    </row>
    <row r="2616" spans="9:39" x14ac:dyDescent="0.3">
      <c r="I2616" s="12"/>
      <c r="N2616" s="12"/>
      <c r="S2616" s="12"/>
      <c r="X2616" s="12"/>
      <c r="AM2616" s="12"/>
    </row>
    <row r="2617" spans="9:39" x14ac:dyDescent="0.3">
      <c r="I2617" s="12"/>
      <c r="N2617" s="12"/>
      <c r="S2617" s="12"/>
      <c r="X2617" s="12"/>
      <c r="AM2617" s="12"/>
    </row>
    <row r="2618" spans="9:39" x14ac:dyDescent="0.3">
      <c r="I2618" s="12"/>
      <c r="N2618" s="12"/>
      <c r="S2618" s="12"/>
      <c r="X2618" s="12"/>
      <c r="AM2618" s="12"/>
    </row>
    <row r="2619" spans="9:39" x14ac:dyDescent="0.3">
      <c r="I2619" s="12"/>
      <c r="N2619" s="12"/>
      <c r="S2619" s="12"/>
      <c r="X2619" s="12"/>
      <c r="AM2619" s="12"/>
    </row>
    <row r="2620" spans="9:39" x14ac:dyDescent="0.3">
      <c r="I2620" s="12"/>
      <c r="N2620" s="12"/>
      <c r="S2620" s="12"/>
      <c r="X2620" s="12"/>
      <c r="AM2620" s="12"/>
    </row>
    <row r="2621" spans="9:39" x14ac:dyDescent="0.3">
      <c r="I2621" s="12"/>
      <c r="N2621" s="12"/>
      <c r="S2621" s="12"/>
      <c r="X2621" s="12"/>
      <c r="AM2621" s="12"/>
    </row>
    <row r="2622" spans="9:39" x14ac:dyDescent="0.3">
      <c r="I2622" s="12"/>
      <c r="N2622" s="12"/>
      <c r="S2622" s="12"/>
      <c r="X2622" s="12"/>
      <c r="AM2622" s="12"/>
    </row>
    <row r="2623" spans="9:39" x14ac:dyDescent="0.3">
      <c r="I2623" s="12"/>
      <c r="N2623" s="12"/>
      <c r="S2623" s="12"/>
      <c r="X2623" s="12"/>
      <c r="AM2623" s="12"/>
    </row>
    <row r="2624" spans="9:39" x14ac:dyDescent="0.3">
      <c r="I2624" s="12"/>
      <c r="N2624" s="12"/>
      <c r="S2624" s="12"/>
      <c r="X2624" s="12"/>
      <c r="AM2624" s="12"/>
    </row>
    <row r="2625" spans="9:39" x14ac:dyDescent="0.3">
      <c r="I2625" s="12"/>
      <c r="N2625" s="12"/>
      <c r="S2625" s="12"/>
      <c r="X2625" s="12"/>
      <c r="AM2625" s="12"/>
    </row>
    <row r="2626" spans="9:39" x14ac:dyDescent="0.3">
      <c r="I2626" s="12"/>
      <c r="N2626" s="12"/>
      <c r="S2626" s="12"/>
      <c r="X2626" s="12"/>
      <c r="AM2626" s="12"/>
    </row>
    <row r="2627" spans="9:39" x14ac:dyDescent="0.3">
      <c r="I2627" s="12"/>
      <c r="N2627" s="12"/>
      <c r="S2627" s="12"/>
      <c r="X2627" s="12"/>
      <c r="AM2627" s="12"/>
    </row>
    <row r="2628" spans="9:39" x14ac:dyDescent="0.3">
      <c r="I2628" s="12"/>
      <c r="N2628" s="12"/>
      <c r="S2628" s="12"/>
      <c r="X2628" s="12"/>
      <c r="AM2628" s="12"/>
    </row>
    <row r="2629" spans="9:39" x14ac:dyDescent="0.3">
      <c r="I2629" s="12"/>
      <c r="N2629" s="12"/>
      <c r="S2629" s="12"/>
      <c r="X2629" s="12"/>
      <c r="AM2629" s="12"/>
    </row>
    <row r="2630" spans="9:39" x14ac:dyDescent="0.3">
      <c r="I2630" s="12"/>
      <c r="N2630" s="12"/>
      <c r="S2630" s="12"/>
      <c r="X2630" s="12"/>
      <c r="AM2630" s="12"/>
    </row>
    <row r="2631" spans="9:39" x14ac:dyDescent="0.3">
      <c r="I2631" s="12"/>
      <c r="N2631" s="12"/>
      <c r="S2631" s="12"/>
      <c r="X2631" s="12"/>
      <c r="AM2631" s="12"/>
    </row>
    <row r="2632" spans="9:39" x14ac:dyDescent="0.3">
      <c r="I2632" s="12"/>
      <c r="N2632" s="12"/>
      <c r="S2632" s="12"/>
      <c r="X2632" s="12"/>
      <c r="AM2632" s="12"/>
    </row>
    <row r="2633" spans="9:39" x14ac:dyDescent="0.3">
      <c r="I2633" s="12"/>
      <c r="N2633" s="12"/>
      <c r="S2633" s="12"/>
      <c r="X2633" s="12"/>
      <c r="AM2633" s="12"/>
    </row>
    <row r="2634" spans="9:39" x14ac:dyDescent="0.3">
      <c r="I2634" s="12"/>
      <c r="N2634" s="12"/>
      <c r="S2634" s="12"/>
      <c r="X2634" s="12"/>
      <c r="AM2634" s="12"/>
    </row>
    <row r="2635" spans="9:39" x14ac:dyDescent="0.3">
      <c r="I2635" s="12"/>
      <c r="N2635" s="12"/>
      <c r="S2635" s="12"/>
      <c r="X2635" s="12"/>
      <c r="AM2635" s="12"/>
    </row>
    <row r="2636" spans="9:39" x14ac:dyDescent="0.3">
      <c r="I2636" s="12"/>
      <c r="N2636" s="12"/>
      <c r="S2636" s="12"/>
      <c r="X2636" s="12"/>
      <c r="AM2636" s="12"/>
    </row>
    <row r="2637" spans="9:39" x14ac:dyDescent="0.3">
      <c r="I2637" s="12"/>
      <c r="N2637" s="12"/>
      <c r="S2637" s="12"/>
      <c r="X2637" s="12"/>
      <c r="AM2637" s="12"/>
    </row>
    <row r="2638" spans="9:39" x14ac:dyDescent="0.3">
      <c r="I2638" s="12"/>
      <c r="N2638" s="12"/>
      <c r="S2638" s="12"/>
      <c r="X2638" s="12"/>
      <c r="AM2638" s="12"/>
    </row>
    <row r="2639" spans="9:39" x14ac:dyDescent="0.3">
      <c r="I2639" s="12"/>
      <c r="N2639" s="12"/>
      <c r="S2639" s="12"/>
      <c r="X2639" s="12"/>
      <c r="AM2639" s="12"/>
    </row>
    <row r="2640" spans="9:39" x14ac:dyDescent="0.3">
      <c r="I2640" s="12"/>
      <c r="N2640" s="12"/>
      <c r="S2640" s="12"/>
      <c r="X2640" s="12"/>
      <c r="AM2640" s="12"/>
    </row>
    <row r="2641" spans="9:39" x14ac:dyDescent="0.3">
      <c r="I2641" s="12"/>
      <c r="N2641" s="12"/>
      <c r="S2641" s="12"/>
      <c r="X2641" s="12"/>
      <c r="AM2641" s="12"/>
    </row>
    <row r="2642" spans="9:39" x14ac:dyDescent="0.3">
      <c r="I2642" s="12"/>
      <c r="N2642" s="12"/>
      <c r="S2642" s="12"/>
      <c r="X2642" s="12"/>
      <c r="AM2642" s="12"/>
    </row>
    <row r="2643" spans="9:39" x14ac:dyDescent="0.3">
      <c r="I2643" s="12"/>
      <c r="N2643" s="12"/>
      <c r="S2643" s="12"/>
      <c r="X2643" s="12"/>
      <c r="AM2643" s="12"/>
    </row>
    <row r="2644" spans="9:39" x14ac:dyDescent="0.3">
      <c r="I2644" s="12"/>
      <c r="N2644" s="12"/>
      <c r="S2644" s="12"/>
      <c r="X2644" s="12"/>
      <c r="AM2644" s="12"/>
    </row>
    <row r="2645" spans="9:39" x14ac:dyDescent="0.3">
      <c r="I2645" s="12"/>
      <c r="N2645" s="12"/>
      <c r="S2645" s="12"/>
      <c r="X2645" s="12"/>
      <c r="AM2645" s="12"/>
    </row>
    <row r="2646" spans="9:39" x14ac:dyDescent="0.3">
      <c r="I2646" s="12"/>
      <c r="N2646" s="12"/>
      <c r="S2646" s="12"/>
      <c r="X2646" s="12"/>
      <c r="AM2646" s="12"/>
    </row>
    <row r="2647" spans="9:39" x14ac:dyDescent="0.3">
      <c r="I2647" s="12"/>
      <c r="N2647" s="12"/>
      <c r="S2647" s="12"/>
      <c r="X2647" s="12"/>
      <c r="AM2647" s="12"/>
    </row>
    <row r="2648" spans="9:39" x14ac:dyDescent="0.3">
      <c r="I2648" s="12"/>
      <c r="N2648" s="12"/>
      <c r="S2648" s="12"/>
      <c r="X2648" s="12"/>
      <c r="AM2648" s="12"/>
    </row>
    <row r="2649" spans="9:39" x14ac:dyDescent="0.3">
      <c r="I2649" s="12"/>
      <c r="N2649" s="12"/>
      <c r="S2649" s="12"/>
      <c r="X2649" s="12"/>
      <c r="AM2649" s="12"/>
    </row>
    <row r="2650" spans="9:39" x14ac:dyDescent="0.3">
      <c r="I2650" s="12"/>
      <c r="N2650" s="12"/>
      <c r="S2650" s="12"/>
      <c r="X2650" s="12"/>
      <c r="AM2650" s="12"/>
    </row>
    <row r="2651" spans="9:39" x14ac:dyDescent="0.3">
      <c r="I2651" s="12"/>
      <c r="N2651" s="12"/>
      <c r="S2651" s="12"/>
      <c r="X2651" s="12"/>
      <c r="AM2651" s="12"/>
    </row>
    <row r="2652" spans="9:39" x14ac:dyDescent="0.3">
      <c r="I2652" s="12"/>
      <c r="N2652" s="12"/>
      <c r="S2652" s="12"/>
      <c r="X2652" s="12"/>
      <c r="AM2652" s="12"/>
    </row>
    <row r="2653" spans="9:39" x14ac:dyDescent="0.3">
      <c r="I2653" s="12"/>
      <c r="N2653" s="12"/>
      <c r="S2653" s="12"/>
      <c r="X2653" s="12"/>
      <c r="AM2653" s="12"/>
    </row>
    <row r="2654" spans="9:39" x14ac:dyDescent="0.3">
      <c r="I2654" s="12"/>
      <c r="N2654" s="12"/>
      <c r="S2654" s="12"/>
      <c r="X2654" s="12"/>
      <c r="AM2654" s="12"/>
    </row>
    <row r="2655" spans="9:39" x14ac:dyDescent="0.3">
      <c r="I2655" s="12"/>
      <c r="N2655" s="12"/>
      <c r="S2655" s="12"/>
      <c r="X2655" s="12"/>
      <c r="AM2655" s="12"/>
    </row>
    <row r="2656" spans="9:39" x14ac:dyDescent="0.3">
      <c r="I2656" s="12"/>
      <c r="N2656" s="12"/>
      <c r="S2656" s="12"/>
      <c r="X2656" s="12"/>
      <c r="AM2656" s="12"/>
    </row>
    <row r="2657" spans="9:39" x14ac:dyDescent="0.3">
      <c r="I2657" s="12"/>
      <c r="N2657" s="12"/>
      <c r="S2657" s="12"/>
      <c r="X2657" s="12"/>
      <c r="AM2657" s="12"/>
    </row>
    <row r="2658" spans="9:39" x14ac:dyDescent="0.3">
      <c r="I2658" s="12"/>
      <c r="N2658" s="12"/>
      <c r="S2658" s="12"/>
      <c r="X2658" s="12"/>
      <c r="AM2658" s="12"/>
    </row>
    <row r="2659" spans="9:39" x14ac:dyDescent="0.3">
      <c r="I2659" s="12"/>
      <c r="N2659" s="12"/>
      <c r="S2659" s="12"/>
      <c r="X2659" s="12"/>
      <c r="AM2659" s="12"/>
    </row>
    <row r="2660" spans="9:39" x14ac:dyDescent="0.3">
      <c r="I2660" s="12"/>
      <c r="N2660" s="12"/>
      <c r="S2660" s="12"/>
      <c r="X2660" s="12"/>
      <c r="AM2660" s="12"/>
    </row>
    <row r="2661" spans="9:39" x14ac:dyDescent="0.3">
      <c r="I2661" s="12"/>
      <c r="N2661" s="12"/>
      <c r="S2661" s="12"/>
      <c r="X2661" s="12"/>
      <c r="AM2661" s="12"/>
    </row>
    <row r="2662" spans="9:39" x14ac:dyDescent="0.3">
      <c r="I2662" s="12"/>
      <c r="N2662" s="12"/>
      <c r="S2662" s="12"/>
      <c r="X2662" s="12"/>
      <c r="AM2662" s="12"/>
    </row>
    <row r="2663" spans="9:39" x14ac:dyDescent="0.3">
      <c r="I2663" s="12"/>
      <c r="N2663" s="12"/>
      <c r="S2663" s="12"/>
      <c r="X2663" s="12"/>
      <c r="AM2663" s="12"/>
    </row>
    <row r="2664" spans="9:39" x14ac:dyDescent="0.3">
      <c r="I2664" s="12"/>
      <c r="N2664" s="12"/>
      <c r="S2664" s="12"/>
      <c r="X2664" s="12"/>
      <c r="AM2664" s="12"/>
    </row>
    <row r="2665" spans="9:39" x14ac:dyDescent="0.3">
      <c r="I2665" s="12"/>
      <c r="N2665" s="12"/>
      <c r="S2665" s="12"/>
      <c r="X2665" s="12"/>
      <c r="AM2665" s="12"/>
    </row>
    <row r="2666" spans="9:39" x14ac:dyDescent="0.3">
      <c r="I2666" s="12"/>
      <c r="N2666" s="12"/>
      <c r="S2666" s="12"/>
      <c r="X2666" s="12"/>
      <c r="AM2666" s="12"/>
    </row>
    <row r="2667" spans="9:39" x14ac:dyDescent="0.3">
      <c r="I2667" s="12"/>
      <c r="N2667" s="12"/>
      <c r="S2667" s="12"/>
      <c r="X2667" s="12"/>
      <c r="AM2667" s="12"/>
    </row>
    <row r="2668" spans="9:39" x14ac:dyDescent="0.3">
      <c r="I2668" s="12"/>
      <c r="N2668" s="12"/>
      <c r="S2668" s="12"/>
      <c r="X2668" s="12"/>
      <c r="AM2668" s="12"/>
    </row>
    <row r="2669" spans="9:39" x14ac:dyDescent="0.3">
      <c r="I2669" s="12"/>
      <c r="N2669" s="12"/>
      <c r="S2669" s="12"/>
      <c r="X2669" s="12"/>
      <c r="AM2669" s="12"/>
    </row>
    <row r="2670" spans="9:39" x14ac:dyDescent="0.3">
      <c r="I2670" s="12"/>
      <c r="N2670" s="12"/>
      <c r="S2670" s="12"/>
      <c r="X2670" s="12"/>
      <c r="AM2670" s="12"/>
    </row>
    <row r="2671" spans="9:39" x14ac:dyDescent="0.3">
      <c r="I2671" s="12"/>
      <c r="N2671" s="12"/>
      <c r="S2671" s="12"/>
      <c r="X2671" s="12"/>
      <c r="AM2671" s="12"/>
    </row>
    <row r="2672" spans="9:39" x14ac:dyDescent="0.3">
      <c r="I2672" s="12"/>
      <c r="N2672" s="12"/>
      <c r="S2672" s="12"/>
      <c r="X2672" s="12"/>
      <c r="AM2672" s="12"/>
    </row>
    <row r="2673" spans="9:39" x14ac:dyDescent="0.3">
      <c r="I2673" s="12"/>
      <c r="N2673" s="12"/>
      <c r="S2673" s="12"/>
      <c r="X2673" s="12"/>
      <c r="AM2673" s="12"/>
    </row>
    <row r="2674" spans="9:39" x14ac:dyDescent="0.3">
      <c r="I2674" s="12"/>
      <c r="N2674" s="12"/>
      <c r="S2674" s="12"/>
      <c r="X2674" s="12"/>
      <c r="AM2674" s="12"/>
    </row>
    <row r="2675" spans="9:39" x14ac:dyDescent="0.3">
      <c r="I2675" s="12"/>
      <c r="N2675" s="12"/>
      <c r="S2675" s="12"/>
      <c r="X2675" s="12"/>
      <c r="AM2675" s="12"/>
    </row>
    <row r="2676" spans="9:39" x14ac:dyDescent="0.3">
      <c r="I2676" s="12"/>
      <c r="N2676" s="12"/>
      <c r="S2676" s="12"/>
      <c r="X2676" s="12"/>
      <c r="AM2676" s="12"/>
    </row>
    <row r="2677" spans="9:39" x14ac:dyDescent="0.3">
      <c r="I2677" s="12"/>
      <c r="N2677" s="12"/>
      <c r="S2677" s="12"/>
      <c r="X2677" s="12"/>
      <c r="AM2677" s="12"/>
    </row>
    <row r="2678" spans="9:39" x14ac:dyDescent="0.3">
      <c r="I2678" s="12"/>
      <c r="N2678" s="12"/>
      <c r="S2678" s="12"/>
      <c r="X2678" s="12"/>
      <c r="AM2678" s="12"/>
    </row>
    <row r="2679" spans="9:39" x14ac:dyDescent="0.3">
      <c r="I2679" s="12"/>
      <c r="N2679" s="12"/>
      <c r="S2679" s="12"/>
      <c r="X2679" s="12"/>
      <c r="AM2679" s="12"/>
    </row>
    <row r="2680" spans="9:39" x14ac:dyDescent="0.3">
      <c r="I2680" s="12"/>
      <c r="N2680" s="12"/>
      <c r="S2680" s="12"/>
      <c r="X2680" s="12"/>
      <c r="AM2680" s="12"/>
    </row>
    <row r="2681" spans="9:39" x14ac:dyDescent="0.3">
      <c r="I2681" s="12"/>
      <c r="N2681" s="12"/>
      <c r="S2681" s="12"/>
      <c r="X2681" s="12"/>
      <c r="AM2681" s="12"/>
    </row>
    <row r="2682" spans="9:39" x14ac:dyDescent="0.3">
      <c r="I2682" s="12"/>
      <c r="N2682" s="12"/>
      <c r="S2682" s="12"/>
      <c r="X2682" s="12"/>
      <c r="AM2682" s="12"/>
    </row>
    <row r="2683" spans="9:39" x14ac:dyDescent="0.3">
      <c r="I2683" s="12"/>
      <c r="N2683" s="12"/>
      <c r="S2683" s="12"/>
      <c r="X2683" s="12"/>
      <c r="AM2683" s="12"/>
    </row>
    <row r="2684" spans="9:39" x14ac:dyDescent="0.3">
      <c r="I2684" s="12"/>
      <c r="N2684" s="12"/>
      <c r="S2684" s="12"/>
      <c r="X2684" s="12"/>
      <c r="AM2684" s="12"/>
    </row>
    <row r="2685" spans="9:39" x14ac:dyDescent="0.3">
      <c r="I2685" s="12"/>
      <c r="N2685" s="12"/>
      <c r="S2685" s="12"/>
      <c r="X2685" s="12"/>
      <c r="AM2685" s="12"/>
    </row>
    <row r="2686" spans="9:39" x14ac:dyDescent="0.3">
      <c r="I2686" s="12"/>
      <c r="N2686" s="12"/>
      <c r="S2686" s="12"/>
      <c r="X2686" s="12"/>
      <c r="AM2686" s="12"/>
    </row>
    <row r="2687" spans="9:39" x14ac:dyDescent="0.3">
      <c r="I2687" s="12"/>
      <c r="N2687" s="12"/>
      <c r="S2687" s="12"/>
      <c r="X2687" s="12"/>
      <c r="AM2687" s="12"/>
    </row>
    <row r="2688" spans="9:39" x14ac:dyDescent="0.3">
      <c r="I2688" s="12"/>
      <c r="N2688" s="12"/>
      <c r="S2688" s="12"/>
      <c r="X2688" s="12"/>
      <c r="AM2688" s="12"/>
    </row>
    <row r="2689" spans="9:39" x14ac:dyDescent="0.3">
      <c r="I2689" s="12"/>
      <c r="N2689" s="12"/>
      <c r="S2689" s="12"/>
      <c r="X2689" s="12"/>
      <c r="AM2689" s="12"/>
    </row>
    <row r="2690" spans="9:39" x14ac:dyDescent="0.3">
      <c r="I2690" s="12"/>
      <c r="N2690" s="12"/>
      <c r="S2690" s="12"/>
      <c r="X2690" s="12"/>
      <c r="AM2690" s="12"/>
    </row>
    <row r="2691" spans="9:39" x14ac:dyDescent="0.3">
      <c r="I2691" s="12"/>
      <c r="N2691" s="12"/>
      <c r="S2691" s="12"/>
      <c r="X2691" s="12"/>
      <c r="AM2691" s="12"/>
    </row>
    <row r="2692" spans="9:39" x14ac:dyDescent="0.3">
      <c r="I2692" s="12"/>
      <c r="N2692" s="12"/>
      <c r="S2692" s="12"/>
      <c r="X2692" s="12"/>
      <c r="AM2692" s="12"/>
    </row>
    <row r="2693" spans="9:39" x14ac:dyDescent="0.3">
      <c r="I2693" s="12"/>
      <c r="N2693" s="12"/>
      <c r="S2693" s="12"/>
      <c r="X2693" s="12"/>
      <c r="AM2693" s="12"/>
    </row>
    <row r="2694" spans="9:39" x14ac:dyDescent="0.3">
      <c r="I2694" s="12"/>
      <c r="N2694" s="12"/>
      <c r="S2694" s="12"/>
      <c r="X2694" s="12"/>
      <c r="AM2694" s="12"/>
    </row>
    <row r="2695" spans="9:39" x14ac:dyDescent="0.3">
      <c r="I2695" s="12"/>
      <c r="N2695" s="12"/>
      <c r="S2695" s="12"/>
      <c r="X2695" s="12"/>
      <c r="AM2695" s="12"/>
    </row>
    <row r="2696" spans="9:39" x14ac:dyDescent="0.3">
      <c r="I2696" s="12"/>
      <c r="N2696" s="12"/>
      <c r="S2696" s="12"/>
      <c r="X2696" s="12"/>
      <c r="AM2696" s="12"/>
    </row>
    <row r="2697" spans="9:39" x14ac:dyDescent="0.3">
      <c r="I2697" s="12"/>
      <c r="N2697" s="12"/>
      <c r="S2697" s="12"/>
      <c r="X2697" s="12"/>
      <c r="AM2697" s="12"/>
    </row>
    <row r="2698" spans="9:39" x14ac:dyDescent="0.3">
      <c r="I2698" s="12"/>
      <c r="N2698" s="12"/>
      <c r="S2698" s="12"/>
      <c r="X2698" s="12"/>
      <c r="AM2698" s="12"/>
    </row>
    <row r="2699" spans="9:39" x14ac:dyDescent="0.3">
      <c r="I2699" s="12"/>
      <c r="N2699" s="12"/>
      <c r="S2699" s="12"/>
      <c r="X2699" s="12"/>
      <c r="AM2699" s="12"/>
    </row>
    <row r="2700" spans="9:39" x14ac:dyDescent="0.3">
      <c r="I2700" s="12"/>
      <c r="N2700" s="12"/>
      <c r="S2700" s="12"/>
      <c r="X2700" s="12"/>
      <c r="AM2700" s="12"/>
    </row>
    <row r="2701" spans="9:39" x14ac:dyDescent="0.3">
      <c r="I2701" s="12"/>
      <c r="N2701" s="12"/>
      <c r="S2701" s="12"/>
      <c r="X2701" s="12"/>
      <c r="AM2701" s="12"/>
    </row>
    <row r="2702" spans="9:39" x14ac:dyDescent="0.3">
      <c r="I2702" s="12"/>
      <c r="N2702" s="12"/>
      <c r="S2702" s="12"/>
      <c r="X2702" s="12"/>
      <c r="AM2702" s="12"/>
    </row>
    <row r="2703" spans="9:39" x14ac:dyDescent="0.3">
      <c r="I2703" s="12"/>
      <c r="N2703" s="12"/>
      <c r="S2703" s="12"/>
      <c r="X2703" s="12"/>
      <c r="AM2703" s="12"/>
    </row>
    <row r="2704" spans="9:39" x14ac:dyDescent="0.3">
      <c r="I2704" s="12"/>
      <c r="N2704" s="12"/>
      <c r="S2704" s="12"/>
      <c r="X2704" s="12"/>
      <c r="AM2704" s="12"/>
    </row>
    <row r="2705" spans="9:39" x14ac:dyDescent="0.3">
      <c r="I2705" s="12"/>
      <c r="N2705" s="12"/>
      <c r="S2705" s="12"/>
      <c r="X2705" s="12"/>
      <c r="AM2705" s="12"/>
    </row>
    <row r="2706" spans="9:39" x14ac:dyDescent="0.3">
      <c r="I2706" s="12"/>
      <c r="N2706" s="12"/>
      <c r="S2706" s="12"/>
      <c r="X2706" s="12"/>
      <c r="AM2706" s="12"/>
    </row>
    <row r="2707" spans="9:39" x14ac:dyDescent="0.3">
      <c r="I2707" s="12"/>
      <c r="N2707" s="12"/>
      <c r="S2707" s="12"/>
      <c r="X2707" s="12"/>
      <c r="AM2707" s="12"/>
    </row>
    <row r="2708" spans="9:39" x14ac:dyDescent="0.3">
      <c r="I2708" s="12"/>
      <c r="N2708" s="12"/>
      <c r="S2708" s="12"/>
      <c r="X2708" s="12"/>
      <c r="AM2708" s="12"/>
    </row>
    <row r="2709" spans="9:39" x14ac:dyDescent="0.3">
      <c r="I2709" s="12"/>
      <c r="N2709" s="12"/>
      <c r="S2709" s="12"/>
      <c r="X2709" s="12"/>
      <c r="AM2709" s="12"/>
    </row>
    <row r="2710" spans="9:39" x14ac:dyDescent="0.3">
      <c r="I2710" s="12"/>
      <c r="N2710" s="12"/>
      <c r="S2710" s="12"/>
      <c r="X2710" s="12"/>
      <c r="AM2710" s="12"/>
    </row>
    <row r="2711" spans="9:39" x14ac:dyDescent="0.3">
      <c r="I2711" s="12"/>
      <c r="N2711" s="12"/>
      <c r="S2711" s="12"/>
      <c r="X2711" s="12"/>
      <c r="AM2711" s="12"/>
    </row>
    <row r="2712" spans="9:39" x14ac:dyDescent="0.3">
      <c r="I2712" s="12"/>
      <c r="N2712" s="12"/>
      <c r="S2712" s="12"/>
      <c r="X2712" s="12"/>
      <c r="AM2712" s="12"/>
    </row>
    <row r="2713" spans="9:39" x14ac:dyDescent="0.3">
      <c r="I2713" s="12"/>
      <c r="N2713" s="12"/>
      <c r="S2713" s="12"/>
      <c r="X2713" s="12"/>
      <c r="AM2713" s="12"/>
    </row>
    <row r="2714" spans="9:39" x14ac:dyDescent="0.3">
      <c r="I2714" s="12"/>
      <c r="N2714" s="12"/>
      <c r="S2714" s="12"/>
      <c r="X2714" s="12"/>
      <c r="AM2714" s="12"/>
    </row>
    <row r="2715" spans="9:39" x14ac:dyDescent="0.3">
      <c r="I2715" s="12"/>
      <c r="N2715" s="12"/>
      <c r="S2715" s="12"/>
      <c r="X2715" s="12"/>
      <c r="AM2715" s="12"/>
    </row>
    <row r="2716" spans="9:39" x14ac:dyDescent="0.3">
      <c r="I2716" s="12"/>
      <c r="N2716" s="12"/>
      <c r="S2716" s="12"/>
      <c r="X2716" s="12"/>
      <c r="AM2716" s="12"/>
    </row>
    <row r="2717" spans="9:39" x14ac:dyDescent="0.3">
      <c r="I2717" s="12"/>
      <c r="N2717" s="12"/>
      <c r="S2717" s="12"/>
      <c r="X2717" s="12"/>
      <c r="AM2717" s="12"/>
    </row>
    <row r="2718" spans="9:39" x14ac:dyDescent="0.3">
      <c r="I2718" s="12"/>
      <c r="N2718" s="12"/>
      <c r="S2718" s="12"/>
      <c r="X2718" s="12"/>
      <c r="AM2718" s="12"/>
    </row>
    <row r="2719" spans="9:39" x14ac:dyDescent="0.3">
      <c r="I2719" s="12"/>
      <c r="N2719" s="12"/>
      <c r="S2719" s="12"/>
      <c r="X2719" s="12"/>
      <c r="AM2719" s="12"/>
    </row>
    <row r="2720" spans="9:39" x14ac:dyDescent="0.3">
      <c r="I2720" s="12"/>
      <c r="N2720" s="12"/>
      <c r="S2720" s="12"/>
      <c r="X2720" s="12"/>
      <c r="AM2720" s="12"/>
    </row>
    <row r="2721" spans="9:39" x14ac:dyDescent="0.3">
      <c r="I2721" s="12"/>
      <c r="N2721" s="12"/>
      <c r="S2721" s="12"/>
      <c r="X2721" s="12"/>
      <c r="AM2721" s="12"/>
    </row>
    <row r="2722" spans="9:39" x14ac:dyDescent="0.3">
      <c r="I2722" s="12"/>
      <c r="N2722" s="12"/>
      <c r="S2722" s="12"/>
      <c r="X2722" s="12"/>
      <c r="AM2722" s="12"/>
    </row>
    <row r="2723" spans="9:39" x14ac:dyDescent="0.3">
      <c r="I2723" s="12"/>
      <c r="N2723" s="12"/>
      <c r="S2723" s="12"/>
      <c r="X2723" s="12"/>
      <c r="AM2723" s="12"/>
    </row>
    <row r="2724" spans="9:39" x14ac:dyDescent="0.3">
      <c r="I2724" s="12"/>
      <c r="N2724" s="12"/>
      <c r="S2724" s="12"/>
      <c r="X2724" s="12"/>
      <c r="AM2724" s="12"/>
    </row>
    <row r="2725" spans="9:39" x14ac:dyDescent="0.3">
      <c r="I2725" s="12"/>
      <c r="N2725" s="12"/>
      <c r="S2725" s="12"/>
      <c r="X2725" s="12"/>
      <c r="AM2725" s="12"/>
    </row>
    <row r="2726" spans="9:39" x14ac:dyDescent="0.3">
      <c r="I2726" s="12"/>
      <c r="N2726" s="12"/>
      <c r="S2726" s="12"/>
      <c r="X2726" s="12"/>
      <c r="AM2726" s="12"/>
    </row>
    <row r="2727" spans="9:39" x14ac:dyDescent="0.3">
      <c r="I2727" s="12"/>
      <c r="N2727" s="12"/>
      <c r="S2727" s="12"/>
      <c r="X2727" s="12"/>
      <c r="AM2727" s="12"/>
    </row>
    <row r="2728" spans="9:39" x14ac:dyDescent="0.3">
      <c r="I2728" s="12"/>
      <c r="N2728" s="12"/>
      <c r="S2728" s="12"/>
      <c r="X2728" s="12"/>
      <c r="AM2728" s="12"/>
    </row>
    <row r="2729" spans="9:39" x14ac:dyDescent="0.3">
      <c r="I2729" s="12"/>
      <c r="N2729" s="12"/>
      <c r="S2729" s="12"/>
      <c r="X2729" s="12"/>
      <c r="AM2729" s="12"/>
    </row>
    <row r="2730" spans="9:39" x14ac:dyDescent="0.3">
      <c r="I2730" s="12"/>
      <c r="N2730" s="12"/>
      <c r="S2730" s="12"/>
      <c r="X2730" s="12"/>
      <c r="AM2730" s="12"/>
    </row>
    <row r="2731" spans="9:39" x14ac:dyDescent="0.3">
      <c r="I2731" s="12"/>
      <c r="N2731" s="12"/>
      <c r="S2731" s="12"/>
      <c r="X2731" s="12"/>
      <c r="AM2731" s="12"/>
    </row>
    <row r="2732" spans="9:39" x14ac:dyDescent="0.3">
      <c r="I2732" s="12"/>
      <c r="N2732" s="12"/>
      <c r="S2732" s="12"/>
      <c r="X2732" s="12"/>
      <c r="AM2732" s="12"/>
    </row>
    <row r="2733" spans="9:39" x14ac:dyDescent="0.3">
      <c r="I2733" s="12"/>
      <c r="N2733" s="12"/>
      <c r="S2733" s="12"/>
      <c r="X2733" s="12"/>
      <c r="AM2733" s="12"/>
    </row>
    <row r="2734" spans="9:39" x14ac:dyDescent="0.3">
      <c r="I2734" s="12"/>
      <c r="N2734" s="12"/>
      <c r="S2734" s="12"/>
      <c r="X2734" s="12"/>
      <c r="AM2734" s="12"/>
    </row>
    <row r="2735" spans="9:39" x14ac:dyDescent="0.3">
      <c r="I2735" s="12"/>
      <c r="N2735" s="12"/>
      <c r="S2735" s="12"/>
      <c r="X2735" s="12"/>
      <c r="AM2735" s="12"/>
    </row>
    <row r="2736" spans="9:39" x14ac:dyDescent="0.3">
      <c r="I2736" s="12"/>
      <c r="N2736" s="12"/>
      <c r="S2736" s="12"/>
      <c r="X2736" s="12"/>
      <c r="AM2736" s="12"/>
    </row>
    <row r="2737" spans="9:39" x14ac:dyDescent="0.3">
      <c r="I2737" s="12"/>
      <c r="N2737" s="12"/>
      <c r="S2737" s="12"/>
      <c r="X2737" s="12"/>
      <c r="AM2737" s="12"/>
    </row>
    <row r="2738" spans="9:39" x14ac:dyDescent="0.3">
      <c r="I2738" s="12"/>
      <c r="N2738" s="12"/>
      <c r="S2738" s="12"/>
      <c r="X2738" s="12"/>
      <c r="AM2738" s="12"/>
    </row>
    <row r="2739" spans="9:39" x14ac:dyDescent="0.3">
      <c r="I2739" s="12"/>
      <c r="N2739" s="12"/>
      <c r="S2739" s="12"/>
      <c r="X2739" s="12"/>
      <c r="AM2739" s="12"/>
    </row>
    <row r="2740" spans="9:39" x14ac:dyDescent="0.3">
      <c r="I2740" s="12"/>
      <c r="N2740" s="12"/>
      <c r="S2740" s="12"/>
      <c r="X2740" s="12"/>
      <c r="AM2740" s="12"/>
    </row>
    <row r="2741" spans="9:39" x14ac:dyDescent="0.3">
      <c r="I2741" s="12"/>
      <c r="N2741" s="12"/>
      <c r="S2741" s="12"/>
      <c r="X2741" s="12"/>
      <c r="AM2741" s="12"/>
    </row>
    <row r="2742" spans="9:39" x14ac:dyDescent="0.3">
      <c r="I2742" s="12"/>
      <c r="N2742" s="12"/>
      <c r="S2742" s="12"/>
      <c r="X2742" s="12"/>
      <c r="AM2742" s="12"/>
    </row>
    <row r="2743" spans="9:39" x14ac:dyDescent="0.3">
      <c r="I2743" s="12"/>
      <c r="N2743" s="12"/>
      <c r="S2743" s="12"/>
      <c r="X2743" s="12"/>
      <c r="AM2743" s="12"/>
    </row>
    <row r="2744" spans="9:39" x14ac:dyDescent="0.3">
      <c r="I2744" s="12"/>
      <c r="N2744" s="12"/>
      <c r="S2744" s="12"/>
      <c r="X2744" s="12"/>
      <c r="AM2744" s="12"/>
    </row>
    <row r="2745" spans="9:39" x14ac:dyDescent="0.3">
      <c r="I2745" s="12"/>
      <c r="N2745" s="12"/>
      <c r="S2745" s="12"/>
      <c r="X2745" s="12"/>
      <c r="AM2745" s="12"/>
    </row>
    <row r="2746" spans="9:39" x14ac:dyDescent="0.3">
      <c r="I2746" s="12"/>
      <c r="N2746" s="12"/>
      <c r="S2746" s="12"/>
      <c r="X2746" s="12"/>
      <c r="AM2746" s="12"/>
    </row>
    <row r="2747" spans="9:39" x14ac:dyDescent="0.3">
      <c r="I2747" s="12"/>
      <c r="N2747" s="12"/>
      <c r="S2747" s="12"/>
      <c r="X2747" s="12"/>
      <c r="AM2747" s="12"/>
    </row>
    <row r="2748" spans="9:39" x14ac:dyDescent="0.3">
      <c r="I2748" s="12"/>
      <c r="N2748" s="12"/>
      <c r="S2748" s="12"/>
      <c r="X2748" s="12"/>
      <c r="AM2748" s="12"/>
    </row>
    <row r="2749" spans="9:39" x14ac:dyDescent="0.3">
      <c r="I2749" s="12"/>
      <c r="N2749" s="12"/>
      <c r="S2749" s="12"/>
      <c r="X2749" s="12"/>
      <c r="AM2749" s="12"/>
    </row>
    <row r="2750" spans="9:39" x14ac:dyDescent="0.3">
      <c r="I2750" s="12"/>
      <c r="N2750" s="12"/>
      <c r="S2750" s="12"/>
      <c r="X2750" s="12"/>
      <c r="AM2750" s="12"/>
    </row>
    <row r="2751" spans="9:39" x14ac:dyDescent="0.3">
      <c r="I2751" s="12"/>
      <c r="N2751" s="12"/>
      <c r="S2751" s="12"/>
      <c r="X2751" s="12"/>
      <c r="AM2751" s="12"/>
    </row>
    <row r="2752" spans="9:39" x14ac:dyDescent="0.3">
      <c r="I2752" s="12"/>
      <c r="N2752" s="12"/>
      <c r="S2752" s="12"/>
      <c r="X2752" s="12"/>
      <c r="AM2752" s="12"/>
    </row>
    <row r="2753" spans="9:39" x14ac:dyDescent="0.3">
      <c r="I2753" s="12"/>
      <c r="N2753" s="12"/>
      <c r="S2753" s="12"/>
      <c r="X2753" s="12"/>
      <c r="AM2753" s="12"/>
    </row>
    <row r="2754" spans="9:39" x14ac:dyDescent="0.3">
      <c r="I2754" s="12"/>
      <c r="N2754" s="12"/>
      <c r="S2754" s="12"/>
      <c r="X2754" s="12"/>
      <c r="AM2754" s="12"/>
    </row>
    <row r="2755" spans="9:39" x14ac:dyDescent="0.3">
      <c r="I2755" s="12"/>
      <c r="N2755" s="12"/>
      <c r="S2755" s="12"/>
      <c r="X2755" s="12"/>
      <c r="AM2755" s="12"/>
    </row>
    <row r="2756" spans="9:39" x14ac:dyDescent="0.3">
      <c r="I2756" s="12"/>
      <c r="N2756" s="12"/>
      <c r="S2756" s="12"/>
      <c r="X2756" s="12"/>
      <c r="AM2756" s="12"/>
    </row>
    <row r="2757" spans="9:39" x14ac:dyDescent="0.3">
      <c r="I2757" s="12"/>
      <c r="N2757" s="12"/>
      <c r="S2757" s="12"/>
      <c r="X2757" s="12"/>
      <c r="AM2757" s="12"/>
    </row>
    <row r="2758" spans="9:39" x14ac:dyDescent="0.3">
      <c r="I2758" s="12"/>
      <c r="N2758" s="12"/>
      <c r="S2758" s="12"/>
      <c r="X2758" s="12"/>
      <c r="AM2758" s="12"/>
    </row>
    <row r="2759" spans="9:39" x14ac:dyDescent="0.3">
      <c r="I2759" s="12"/>
      <c r="N2759" s="12"/>
      <c r="S2759" s="12"/>
      <c r="X2759" s="12"/>
      <c r="AM2759" s="12"/>
    </row>
    <row r="2760" spans="9:39" x14ac:dyDescent="0.3">
      <c r="I2760" s="12"/>
      <c r="N2760" s="12"/>
      <c r="S2760" s="12"/>
      <c r="X2760" s="12"/>
      <c r="AM2760" s="12"/>
    </row>
    <row r="2761" spans="9:39" x14ac:dyDescent="0.3">
      <c r="I2761" s="12"/>
      <c r="N2761" s="12"/>
      <c r="S2761" s="12"/>
      <c r="X2761" s="12"/>
      <c r="AM2761" s="12"/>
    </row>
    <row r="2762" spans="9:39" x14ac:dyDescent="0.3">
      <c r="I2762" s="12"/>
      <c r="N2762" s="12"/>
      <c r="S2762" s="12"/>
      <c r="X2762" s="12"/>
      <c r="AM2762" s="12"/>
    </row>
    <row r="2763" spans="9:39" x14ac:dyDescent="0.3">
      <c r="I2763" s="12"/>
      <c r="N2763" s="12"/>
      <c r="S2763" s="12"/>
      <c r="X2763" s="12"/>
      <c r="AM2763" s="12"/>
    </row>
    <row r="2764" spans="9:39" x14ac:dyDescent="0.3">
      <c r="I2764" s="12"/>
      <c r="N2764" s="12"/>
      <c r="S2764" s="12"/>
      <c r="X2764" s="12"/>
      <c r="AM2764" s="12"/>
    </row>
    <row r="2765" spans="9:39" x14ac:dyDescent="0.3">
      <c r="I2765" s="12"/>
      <c r="N2765" s="12"/>
      <c r="S2765" s="12"/>
      <c r="X2765" s="12"/>
      <c r="AM2765" s="12"/>
    </row>
    <row r="2766" spans="9:39" x14ac:dyDescent="0.3">
      <c r="I2766" s="12"/>
      <c r="N2766" s="12"/>
      <c r="S2766" s="12"/>
      <c r="X2766" s="12"/>
      <c r="AM2766" s="12"/>
    </row>
    <row r="2767" spans="9:39" x14ac:dyDescent="0.3">
      <c r="I2767" s="12"/>
      <c r="N2767" s="12"/>
      <c r="S2767" s="12"/>
      <c r="X2767" s="12"/>
      <c r="AM2767" s="12"/>
    </row>
    <row r="2768" spans="9:39" x14ac:dyDescent="0.3">
      <c r="I2768" s="12"/>
      <c r="N2768" s="12"/>
      <c r="S2768" s="12"/>
      <c r="X2768" s="12"/>
      <c r="AM2768" s="12"/>
    </row>
    <row r="2769" spans="9:39" x14ac:dyDescent="0.3">
      <c r="I2769" s="12"/>
      <c r="N2769" s="12"/>
      <c r="S2769" s="12"/>
      <c r="X2769" s="12"/>
      <c r="AM2769" s="12"/>
    </row>
    <row r="2770" spans="9:39" x14ac:dyDescent="0.3">
      <c r="I2770" s="12"/>
      <c r="N2770" s="12"/>
      <c r="S2770" s="12"/>
      <c r="X2770" s="12"/>
      <c r="AM2770" s="12"/>
    </row>
    <row r="2771" spans="9:39" x14ac:dyDescent="0.3">
      <c r="I2771" s="12"/>
      <c r="N2771" s="12"/>
      <c r="S2771" s="12"/>
      <c r="X2771" s="12"/>
      <c r="AM2771" s="12"/>
    </row>
    <row r="2772" spans="9:39" x14ac:dyDescent="0.3">
      <c r="I2772" s="12"/>
      <c r="N2772" s="12"/>
      <c r="S2772" s="12"/>
      <c r="X2772" s="12"/>
      <c r="AM2772" s="12"/>
    </row>
    <row r="2773" spans="9:39" x14ac:dyDescent="0.3">
      <c r="I2773" s="12"/>
      <c r="N2773" s="12"/>
      <c r="S2773" s="12"/>
      <c r="X2773" s="12"/>
      <c r="AM2773" s="12"/>
    </row>
    <row r="2774" spans="9:39" x14ac:dyDescent="0.3">
      <c r="I2774" s="12"/>
      <c r="N2774" s="12"/>
      <c r="S2774" s="12"/>
      <c r="X2774" s="12"/>
      <c r="AM2774" s="12"/>
    </row>
    <row r="2775" spans="9:39" x14ac:dyDescent="0.3">
      <c r="I2775" s="12"/>
      <c r="N2775" s="12"/>
      <c r="S2775" s="12"/>
      <c r="X2775" s="12"/>
      <c r="AM2775" s="12"/>
    </row>
    <row r="2776" spans="9:39" x14ac:dyDescent="0.3">
      <c r="I2776" s="12"/>
      <c r="N2776" s="12"/>
      <c r="S2776" s="12"/>
      <c r="X2776" s="12"/>
      <c r="AM2776" s="12"/>
    </row>
    <row r="2777" spans="9:39" x14ac:dyDescent="0.3">
      <c r="I2777" s="12"/>
      <c r="N2777" s="12"/>
      <c r="S2777" s="12"/>
      <c r="X2777" s="12"/>
      <c r="AM2777" s="12"/>
    </row>
    <row r="2778" spans="9:39" x14ac:dyDescent="0.3">
      <c r="I2778" s="12"/>
      <c r="N2778" s="12"/>
      <c r="S2778" s="12"/>
      <c r="X2778" s="12"/>
      <c r="AM2778" s="12"/>
    </row>
    <row r="2779" spans="9:39" x14ac:dyDescent="0.3">
      <c r="I2779" s="12"/>
      <c r="N2779" s="12"/>
      <c r="S2779" s="12"/>
      <c r="X2779" s="12"/>
      <c r="AM2779" s="12"/>
    </row>
    <row r="2780" spans="9:39" x14ac:dyDescent="0.3">
      <c r="I2780" s="12"/>
      <c r="N2780" s="12"/>
      <c r="S2780" s="12"/>
      <c r="X2780" s="12"/>
      <c r="AM2780" s="12"/>
    </row>
    <row r="2781" spans="9:39" x14ac:dyDescent="0.3">
      <c r="I2781" s="12"/>
      <c r="N2781" s="12"/>
      <c r="S2781" s="12"/>
      <c r="X2781" s="12"/>
      <c r="AM2781" s="12"/>
    </row>
    <row r="2782" spans="9:39" x14ac:dyDescent="0.3">
      <c r="I2782" s="12"/>
      <c r="N2782" s="12"/>
      <c r="S2782" s="12"/>
      <c r="X2782" s="12"/>
      <c r="AM2782" s="12"/>
    </row>
    <row r="2783" spans="9:39" x14ac:dyDescent="0.3">
      <c r="I2783" s="12"/>
      <c r="N2783" s="12"/>
      <c r="S2783" s="12"/>
      <c r="X2783" s="12"/>
      <c r="AM2783" s="12"/>
    </row>
    <row r="2784" spans="9:39" x14ac:dyDescent="0.3">
      <c r="I2784" s="12"/>
      <c r="N2784" s="12"/>
      <c r="S2784" s="12"/>
      <c r="X2784" s="12"/>
      <c r="AM2784" s="12"/>
    </row>
    <row r="2785" spans="9:39" x14ac:dyDescent="0.3">
      <c r="I2785" s="12"/>
      <c r="N2785" s="12"/>
      <c r="S2785" s="12"/>
      <c r="X2785" s="12"/>
      <c r="AM2785" s="12"/>
    </row>
    <row r="2786" spans="9:39" x14ac:dyDescent="0.3">
      <c r="I2786" s="12"/>
      <c r="N2786" s="12"/>
      <c r="S2786" s="12"/>
      <c r="X2786" s="12"/>
      <c r="AM2786" s="12"/>
    </row>
    <row r="2787" spans="9:39" x14ac:dyDescent="0.3">
      <c r="I2787" s="12"/>
      <c r="N2787" s="12"/>
      <c r="S2787" s="12"/>
      <c r="X2787" s="12"/>
      <c r="AM2787" s="12"/>
    </row>
    <row r="2788" spans="9:39" x14ac:dyDescent="0.3">
      <c r="I2788" s="12"/>
      <c r="N2788" s="12"/>
      <c r="S2788" s="12"/>
      <c r="X2788" s="12"/>
      <c r="AM2788" s="12"/>
    </row>
    <row r="2789" spans="9:39" x14ac:dyDescent="0.3">
      <c r="I2789" s="12"/>
      <c r="N2789" s="12"/>
      <c r="S2789" s="12"/>
      <c r="X2789" s="12"/>
      <c r="AM2789" s="12"/>
    </row>
    <row r="2790" spans="9:39" x14ac:dyDescent="0.3">
      <c r="I2790" s="12"/>
      <c r="N2790" s="12"/>
      <c r="S2790" s="12"/>
      <c r="X2790" s="12"/>
      <c r="AM2790" s="12"/>
    </row>
    <row r="2791" spans="9:39" x14ac:dyDescent="0.3">
      <c r="I2791" s="12"/>
      <c r="N2791" s="12"/>
      <c r="S2791" s="12"/>
      <c r="X2791" s="12"/>
      <c r="AM2791" s="12"/>
    </row>
    <row r="2792" spans="9:39" x14ac:dyDescent="0.3">
      <c r="I2792" s="12"/>
      <c r="N2792" s="12"/>
      <c r="S2792" s="12"/>
      <c r="X2792" s="12"/>
      <c r="AM2792" s="12"/>
    </row>
    <row r="2793" spans="9:39" x14ac:dyDescent="0.3">
      <c r="I2793" s="12"/>
      <c r="N2793" s="12"/>
      <c r="S2793" s="12"/>
      <c r="X2793" s="12"/>
      <c r="AM2793" s="12"/>
    </row>
    <row r="2794" spans="9:39" x14ac:dyDescent="0.3">
      <c r="I2794" s="12"/>
      <c r="N2794" s="12"/>
      <c r="S2794" s="12"/>
      <c r="X2794" s="12"/>
      <c r="AM2794" s="12"/>
    </row>
    <row r="2795" spans="9:39" x14ac:dyDescent="0.3">
      <c r="I2795" s="12"/>
      <c r="N2795" s="12"/>
      <c r="S2795" s="12"/>
      <c r="X2795" s="12"/>
      <c r="AM2795" s="12"/>
    </row>
    <row r="2796" spans="9:39" x14ac:dyDescent="0.3">
      <c r="I2796" s="12"/>
      <c r="N2796" s="12"/>
      <c r="S2796" s="12"/>
      <c r="X2796" s="12"/>
      <c r="AM2796" s="12"/>
    </row>
    <row r="2797" spans="9:39" x14ac:dyDescent="0.3">
      <c r="I2797" s="12"/>
      <c r="N2797" s="12"/>
      <c r="S2797" s="12"/>
      <c r="X2797" s="12"/>
      <c r="AM2797" s="12"/>
    </row>
    <row r="2798" spans="9:39" x14ac:dyDescent="0.3">
      <c r="I2798" s="12"/>
      <c r="N2798" s="12"/>
      <c r="S2798" s="12"/>
      <c r="X2798" s="12"/>
      <c r="AM2798" s="12"/>
    </row>
    <row r="2799" spans="9:39" x14ac:dyDescent="0.3">
      <c r="I2799" s="12"/>
      <c r="N2799" s="12"/>
      <c r="S2799" s="12"/>
      <c r="X2799" s="12"/>
      <c r="AM2799" s="12"/>
    </row>
    <row r="2800" spans="9:39" x14ac:dyDescent="0.3">
      <c r="I2800" s="12"/>
      <c r="N2800" s="12"/>
      <c r="S2800" s="12"/>
      <c r="X2800" s="12"/>
      <c r="AM2800" s="12"/>
    </row>
    <row r="2801" spans="9:39" x14ac:dyDescent="0.3">
      <c r="I2801" s="12"/>
      <c r="N2801" s="12"/>
      <c r="S2801" s="12"/>
      <c r="X2801" s="12"/>
      <c r="AM2801" s="12"/>
    </row>
    <row r="2802" spans="9:39" x14ac:dyDescent="0.3">
      <c r="I2802" s="12"/>
      <c r="N2802" s="12"/>
      <c r="S2802" s="12"/>
      <c r="X2802" s="12"/>
      <c r="AM2802" s="12"/>
    </row>
    <row r="2803" spans="9:39" x14ac:dyDescent="0.3">
      <c r="I2803" s="12"/>
      <c r="N2803" s="12"/>
      <c r="S2803" s="12"/>
      <c r="X2803" s="12"/>
      <c r="AM2803" s="12"/>
    </row>
    <row r="2804" spans="9:39" x14ac:dyDescent="0.3">
      <c r="I2804" s="12"/>
      <c r="N2804" s="12"/>
      <c r="S2804" s="12"/>
      <c r="X2804" s="12"/>
      <c r="AM2804" s="12"/>
    </row>
    <row r="2805" spans="9:39" x14ac:dyDescent="0.3">
      <c r="I2805" s="12"/>
      <c r="N2805" s="12"/>
      <c r="S2805" s="12"/>
      <c r="X2805" s="12"/>
      <c r="AM2805" s="12"/>
    </row>
    <row r="2806" spans="9:39" x14ac:dyDescent="0.3">
      <c r="I2806" s="12"/>
      <c r="N2806" s="12"/>
      <c r="S2806" s="12"/>
      <c r="X2806" s="12"/>
      <c r="AM2806" s="12"/>
    </row>
    <row r="2807" spans="9:39" x14ac:dyDescent="0.3">
      <c r="I2807" s="12"/>
      <c r="N2807" s="12"/>
      <c r="S2807" s="12"/>
      <c r="X2807" s="12"/>
      <c r="AM2807" s="12"/>
    </row>
    <row r="2808" spans="9:39" x14ac:dyDescent="0.3">
      <c r="I2808" s="12"/>
      <c r="N2808" s="12"/>
      <c r="S2808" s="12"/>
      <c r="X2808" s="12"/>
      <c r="AM2808" s="12"/>
    </row>
    <row r="2809" spans="9:39" x14ac:dyDescent="0.3">
      <c r="I2809" s="12"/>
      <c r="N2809" s="12"/>
      <c r="S2809" s="12"/>
      <c r="X2809" s="12"/>
      <c r="AM2809" s="12"/>
    </row>
    <row r="2810" spans="9:39" x14ac:dyDescent="0.3">
      <c r="I2810" s="12"/>
      <c r="N2810" s="12"/>
      <c r="S2810" s="12"/>
      <c r="X2810" s="12"/>
      <c r="AM2810" s="12"/>
    </row>
    <row r="2811" spans="9:39" x14ac:dyDescent="0.3">
      <c r="I2811" s="12"/>
      <c r="N2811" s="12"/>
      <c r="S2811" s="12"/>
      <c r="X2811" s="12"/>
      <c r="AM2811" s="12"/>
    </row>
    <row r="2812" spans="9:39" x14ac:dyDescent="0.3">
      <c r="I2812" s="12"/>
      <c r="N2812" s="12"/>
      <c r="S2812" s="12"/>
      <c r="X2812" s="12"/>
      <c r="AM2812" s="12"/>
    </row>
    <row r="2813" spans="9:39" x14ac:dyDescent="0.3">
      <c r="I2813" s="12"/>
      <c r="N2813" s="12"/>
      <c r="S2813" s="12"/>
      <c r="X2813" s="12"/>
      <c r="AM2813" s="12"/>
    </row>
    <row r="2814" spans="9:39" x14ac:dyDescent="0.3">
      <c r="I2814" s="12"/>
      <c r="N2814" s="12"/>
      <c r="S2814" s="12"/>
      <c r="X2814" s="12"/>
      <c r="AM2814" s="12"/>
    </row>
    <row r="2815" spans="9:39" x14ac:dyDescent="0.3">
      <c r="I2815" s="12"/>
      <c r="N2815" s="12"/>
      <c r="S2815" s="12"/>
      <c r="X2815" s="12"/>
      <c r="AM2815" s="12"/>
    </row>
    <row r="2816" spans="9:39" x14ac:dyDescent="0.3">
      <c r="I2816" s="12"/>
      <c r="N2816" s="12"/>
      <c r="S2816" s="12"/>
      <c r="X2816" s="12"/>
      <c r="AM2816" s="12"/>
    </row>
    <row r="2817" spans="9:39" x14ac:dyDescent="0.3">
      <c r="I2817" s="12"/>
      <c r="N2817" s="12"/>
      <c r="S2817" s="12"/>
      <c r="X2817" s="12"/>
      <c r="AM2817" s="12"/>
    </row>
    <row r="2818" spans="9:39" x14ac:dyDescent="0.3">
      <c r="I2818" s="12"/>
      <c r="N2818" s="12"/>
      <c r="S2818" s="12"/>
      <c r="X2818" s="12"/>
      <c r="AM2818" s="12"/>
    </row>
    <row r="2819" spans="9:39" x14ac:dyDescent="0.3">
      <c r="I2819" s="12"/>
      <c r="N2819" s="12"/>
      <c r="S2819" s="12"/>
      <c r="X2819" s="12"/>
      <c r="AM2819" s="12"/>
    </row>
    <row r="2820" spans="9:39" x14ac:dyDescent="0.3">
      <c r="I2820" s="12"/>
      <c r="N2820" s="12"/>
      <c r="S2820" s="12"/>
      <c r="X2820" s="12"/>
      <c r="AM2820" s="12"/>
    </row>
    <row r="2821" spans="9:39" x14ac:dyDescent="0.3">
      <c r="I2821" s="12"/>
      <c r="N2821" s="12"/>
      <c r="S2821" s="12"/>
      <c r="X2821" s="12"/>
      <c r="AM2821" s="12"/>
    </row>
    <row r="2822" spans="9:39" x14ac:dyDescent="0.3">
      <c r="I2822" s="12"/>
      <c r="N2822" s="12"/>
      <c r="S2822" s="12"/>
      <c r="X2822" s="12"/>
      <c r="AM2822" s="12"/>
    </row>
    <row r="2823" spans="9:39" x14ac:dyDescent="0.3">
      <c r="I2823" s="12"/>
      <c r="N2823" s="12"/>
      <c r="S2823" s="12"/>
      <c r="X2823" s="12"/>
      <c r="AM2823" s="12"/>
    </row>
    <row r="2824" spans="9:39" x14ac:dyDescent="0.3">
      <c r="I2824" s="12"/>
      <c r="N2824" s="12"/>
      <c r="S2824" s="12"/>
      <c r="X2824" s="12"/>
      <c r="AM2824" s="12"/>
    </row>
    <row r="2825" spans="9:39" x14ac:dyDescent="0.3">
      <c r="I2825" s="12"/>
      <c r="N2825" s="12"/>
      <c r="S2825" s="12"/>
      <c r="X2825" s="12"/>
      <c r="AM2825" s="12"/>
    </row>
    <row r="2826" spans="9:39" x14ac:dyDescent="0.3">
      <c r="I2826" s="12"/>
      <c r="N2826" s="12"/>
      <c r="S2826" s="12"/>
      <c r="X2826" s="12"/>
      <c r="AM2826" s="12"/>
    </row>
    <row r="2827" spans="9:39" x14ac:dyDescent="0.3">
      <c r="I2827" s="12"/>
      <c r="N2827" s="12"/>
      <c r="S2827" s="12"/>
      <c r="X2827" s="12"/>
      <c r="AM2827" s="12"/>
    </row>
    <row r="2828" spans="9:39" x14ac:dyDescent="0.3">
      <c r="I2828" s="12"/>
      <c r="N2828" s="12"/>
      <c r="S2828" s="12"/>
      <c r="X2828" s="12"/>
      <c r="AM2828" s="12"/>
    </row>
    <row r="2829" spans="9:39" x14ac:dyDescent="0.3">
      <c r="I2829" s="12"/>
      <c r="N2829" s="12"/>
      <c r="S2829" s="12"/>
      <c r="X2829" s="12"/>
      <c r="AM2829" s="12"/>
    </row>
    <row r="2830" spans="9:39" x14ac:dyDescent="0.3">
      <c r="I2830" s="12"/>
      <c r="N2830" s="12"/>
      <c r="S2830" s="12"/>
      <c r="X2830" s="12"/>
      <c r="AM2830" s="12"/>
    </row>
    <row r="2831" spans="9:39" x14ac:dyDescent="0.3">
      <c r="I2831" s="12"/>
      <c r="N2831" s="12"/>
      <c r="S2831" s="12"/>
      <c r="X2831" s="12"/>
      <c r="AM2831" s="12"/>
    </row>
    <row r="2832" spans="9:39" x14ac:dyDescent="0.3">
      <c r="I2832" s="12"/>
      <c r="N2832" s="12"/>
      <c r="S2832" s="12"/>
      <c r="X2832" s="12"/>
      <c r="AM2832" s="12"/>
    </row>
    <row r="2833" spans="9:39" x14ac:dyDescent="0.3">
      <c r="I2833" s="12"/>
      <c r="N2833" s="12"/>
      <c r="S2833" s="12"/>
      <c r="X2833" s="12"/>
      <c r="AM2833" s="12"/>
    </row>
    <row r="2834" spans="9:39" x14ac:dyDescent="0.3">
      <c r="I2834" s="12"/>
      <c r="N2834" s="12"/>
      <c r="S2834" s="12"/>
      <c r="X2834" s="12"/>
      <c r="AM2834" s="12"/>
    </row>
    <row r="2835" spans="9:39" x14ac:dyDescent="0.3">
      <c r="I2835" s="12"/>
      <c r="N2835" s="12"/>
      <c r="S2835" s="12"/>
      <c r="X2835" s="12"/>
      <c r="AM2835" s="12"/>
    </row>
    <row r="2836" spans="9:39" x14ac:dyDescent="0.3">
      <c r="I2836" s="12"/>
      <c r="N2836" s="12"/>
      <c r="S2836" s="12"/>
      <c r="X2836" s="12"/>
      <c r="AM2836" s="12"/>
    </row>
    <row r="2837" spans="9:39" x14ac:dyDescent="0.3">
      <c r="I2837" s="12"/>
      <c r="N2837" s="12"/>
      <c r="S2837" s="12"/>
      <c r="X2837" s="12"/>
      <c r="AM2837" s="12"/>
    </row>
    <row r="2838" spans="9:39" x14ac:dyDescent="0.3">
      <c r="I2838" s="12"/>
      <c r="N2838" s="12"/>
      <c r="S2838" s="12"/>
      <c r="X2838" s="12"/>
      <c r="AM2838" s="12"/>
    </row>
    <row r="2839" spans="9:39" x14ac:dyDescent="0.3">
      <c r="I2839" s="12"/>
      <c r="N2839" s="12"/>
      <c r="S2839" s="12"/>
      <c r="X2839" s="12"/>
      <c r="AM2839" s="12"/>
    </row>
    <row r="2840" spans="9:39" x14ac:dyDescent="0.3">
      <c r="I2840" s="12"/>
      <c r="N2840" s="12"/>
      <c r="S2840" s="12"/>
      <c r="X2840" s="12"/>
      <c r="AM2840" s="12"/>
    </row>
    <row r="2841" spans="9:39" x14ac:dyDescent="0.3">
      <c r="I2841" s="12"/>
      <c r="N2841" s="12"/>
      <c r="S2841" s="12"/>
      <c r="X2841" s="12"/>
      <c r="AM2841" s="12"/>
    </row>
    <row r="2842" spans="9:39" x14ac:dyDescent="0.3">
      <c r="I2842" s="12"/>
      <c r="N2842" s="12"/>
      <c r="S2842" s="12"/>
      <c r="X2842" s="12"/>
      <c r="AM2842" s="12"/>
    </row>
    <row r="2843" spans="9:39" x14ac:dyDescent="0.3">
      <c r="I2843" s="12"/>
      <c r="N2843" s="12"/>
      <c r="S2843" s="12"/>
      <c r="X2843" s="12"/>
      <c r="AM2843" s="12"/>
    </row>
    <row r="2844" spans="9:39" x14ac:dyDescent="0.3">
      <c r="I2844" s="12"/>
      <c r="N2844" s="12"/>
      <c r="S2844" s="12"/>
      <c r="X2844" s="12"/>
      <c r="AM2844" s="12"/>
    </row>
    <row r="2845" spans="9:39" x14ac:dyDescent="0.3">
      <c r="I2845" s="12"/>
      <c r="N2845" s="12"/>
      <c r="S2845" s="12"/>
      <c r="X2845" s="12"/>
      <c r="AM2845" s="12"/>
    </row>
    <row r="2846" spans="9:39" x14ac:dyDescent="0.3">
      <c r="I2846" s="12"/>
      <c r="N2846" s="12"/>
      <c r="S2846" s="12"/>
      <c r="X2846" s="12"/>
      <c r="AM2846" s="12"/>
    </row>
    <row r="2847" spans="9:39" x14ac:dyDescent="0.3">
      <c r="I2847" s="12"/>
      <c r="N2847" s="12"/>
      <c r="S2847" s="12"/>
      <c r="X2847" s="12"/>
      <c r="AM2847" s="12"/>
    </row>
    <row r="2848" spans="9:39" x14ac:dyDescent="0.3">
      <c r="I2848" s="12"/>
      <c r="N2848" s="12"/>
      <c r="S2848" s="12"/>
      <c r="X2848" s="12"/>
      <c r="AM2848" s="12"/>
    </row>
    <row r="2849" spans="9:39" x14ac:dyDescent="0.3">
      <c r="I2849" s="12"/>
      <c r="N2849" s="12"/>
      <c r="S2849" s="12"/>
      <c r="X2849" s="12"/>
      <c r="AM2849" s="12"/>
    </row>
    <row r="2850" spans="9:39" x14ac:dyDescent="0.3">
      <c r="I2850" s="12"/>
      <c r="N2850" s="12"/>
      <c r="S2850" s="12"/>
      <c r="X2850" s="12"/>
      <c r="AM2850" s="12"/>
    </row>
    <row r="2851" spans="9:39" x14ac:dyDescent="0.3">
      <c r="I2851" s="12"/>
      <c r="N2851" s="12"/>
      <c r="S2851" s="12"/>
      <c r="X2851" s="12"/>
      <c r="AM2851" s="12"/>
    </row>
    <row r="2852" spans="9:39" x14ac:dyDescent="0.3">
      <c r="I2852" s="12"/>
      <c r="N2852" s="12"/>
      <c r="S2852" s="12"/>
      <c r="X2852" s="12"/>
      <c r="AM2852" s="12"/>
    </row>
    <row r="2853" spans="9:39" x14ac:dyDescent="0.3">
      <c r="I2853" s="12"/>
      <c r="N2853" s="12"/>
      <c r="S2853" s="12"/>
      <c r="X2853" s="12"/>
      <c r="AM2853" s="12"/>
    </row>
    <row r="2854" spans="9:39" x14ac:dyDescent="0.3">
      <c r="I2854" s="12"/>
      <c r="N2854" s="12"/>
      <c r="S2854" s="12"/>
      <c r="X2854" s="12"/>
      <c r="AM2854" s="12"/>
    </row>
    <row r="2855" spans="9:39" x14ac:dyDescent="0.3">
      <c r="I2855" s="12"/>
      <c r="N2855" s="12"/>
      <c r="S2855" s="12"/>
      <c r="X2855" s="12"/>
      <c r="AM2855" s="12"/>
    </row>
    <row r="2856" spans="9:39" x14ac:dyDescent="0.3">
      <c r="I2856" s="12"/>
      <c r="N2856" s="12"/>
      <c r="S2856" s="12"/>
      <c r="X2856" s="12"/>
      <c r="AM2856" s="12"/>
    </row>
    <row r="2857" spans="9:39" x14ac:dyDescent="0.3">
      <c r="I2857" s="12"/>
      <c r="N2857" s="12"/>
      <c r="S2857" s="12"/>
      <c r="X2857" s="12"/>
      <c r="AM2857" s="12"/>
    </row>
    <row r="2858" spans="9:39" x14ac:dyDescent="0.3">
      <c r="I2858" s="12"/>
      <c r="N2858" s="12"/>
      <c r="S2858" s="12"/>
      <c r="X2858" s="12"/>
      <c r="AM2858" s="12"/>
    </row>
    <row r="2859" spans="9:39" x14ac:dyDescent="0.3">
      <c r="I2859" s="12"/>
      <c r="N2859" s="12"/>
      <c r="S2859" s="12"/>
      <c r="X2859" s="12"/>
      <c r="AM2859" s="12"/>
    </row>
    <row r="2860" spans="9:39" x14ac:dyDescent="0.3">
      <c r="I2860" s="12"/>
      <c r="N2860" s="12"/>
      <c r="S2860" s="12"/>
      <c r="X2860" s="12"/>
      <c r="AM2860" s="12"/>
    </row>
    <row r="2861" spans="9:39" x14ac:dyDescent="0.3">
      <c r="I2861" s="12"/>
      <c r="N2861" s="12"/>
      <c r="S2861" s="12"/>
      <c r="X2861" s="12"/>
      <c r="AM2861" s="12"/>
    </row>
    <row r="2862" spans="9:39" x14ac:dyDescent="0.3">
      <c r="I2862" s="12"/>
      <c r="N2862" s="12"/>
      <c r="S2862" s="12"/>
      <c r="X2862" s="12"/>
      <c r="AM2862" s="12"/>
    </row>
    <row r="2863" spans="9:39" x14ac:dyDescent="0.3">
      <c r="I2863" s="12"/>
      <c r="N2863" s="12"/>
      <c r="S2863" s="12"/>
      <c r="X2863" s="12"/>
      <c r="AM2863" s="12"/>
    </row>
    <row r="2864" spans="9:39" x14ac:dyDescent="0.3">
      <c r="I2864" s="12"/>
      <c r="N2864" s="12"/>
      <c r="S2864" s="12"/>
      <c r="X2864" s="12"/>
      <c r="AM2864" s="12"/>
    </row>
    <row r="2865" spans="9:39" x14ac:dyDescent="0.3">
      <c r="I2865" s="12"/>
      <c r="N2865" s="12"/>
      <c r="S2865" s="12"/>
      <c r="X2865" s="12"/>
      <c r="AM2865" s="12"/>
    </row>
    <row r="2866" spans="9:39" x14ac:dyDescent="0.3">
      <c r="I2866" s="12"/>
      <c r="N2866" s="12"/>
      <c r="S2866" s="12"/>
      <c r="X2866" s="12"/>
      <c r="AM2866" s="12"/>
    </row>
    <row r="2867" spans="9:39" x14ac:dyDescent="0.3">
      <c r="I2867" s="12"/>
      <c r="N2867" s="12"/>
      <c r="S2867" s="12"/>
      <c r="X2867" s="12"/>
      <c r="AM2867" s="12"/>
    </row>
    <row r="2868" spans="9:39" x14ac:dyDescent="0.3">
      <c r="I2868" s="12"/>
      <c r="N2868" s="12"/>
      <c r="S2868" s="12"/>
      <c r="X2868" s="12"/>
      <c r="AM2868" s="12"/>
    </row>
    <row r="2869" spans="9:39" x14ac:dyDescent="0.3">
      <c r="I2869" s="12"/>
      <c r="N2869" s="12"/>
      <c r="S2869" s="12"/>
      <c r="X2869" s="12"/>
      <c r="AM2869" s="12"/>
    </row>
    <row r="2870" spans="9:39" x14ac:dyDescent="0.3">
      <c r="I2870" s="12"/>
      <c r="N2870" s="12"/>
      <c r="S2870" s="12"/>
      <c r="X2870" s="12"/>
      <c r="AM2870" s="12"/>
    </row>
    <row r="2871" spans="9:39" x14ac:dyDescent="0.3">
      <c r="I2871" s="12"/>
      <c r="N2871" s="12"/>
      <c r="S2871" s="12"/>
      <c r="X2871" s="12"/>
      <c r="AM2871" s="12"/>
    </row>
    <row r="2872" spans="9:39" x14ac:dyDescent="0.3">
      <c r="I2872" s="12"/>
      <c r="N2872" s="12"/>
      <c r="S2872" s="12"/>
      <c r="X2872" s="12"/>
      <c r="AM2872" s="12"/>
    </row>
    <row r="2873" spans="9:39" x14ac:dyDescent="0.3">
      <c r="I2873" s="12"/>
      <c r="N2873" s="12"/>
      <c r="S2873" s="12"/>
      <c r="X2873" s="12"/>
      <c r="AM2873" s="12"/>
    </row>
    <row r="2874" spans="9:39" x14ac:dyDescent="0.3">
      <c r="I2874" s="12"/>
      <c r="N2874" s="12"/>
      <c r="S2874" s="12"/>
      <c r="X2874" s="12"/>
      <c r="AM2874" s="12"/>
    </row>
    <row r="2875" spans="9:39" x14ac:dyDescent="0.3">
      <c r="I2875" s="12"/>
      <c r="N2875" s="12"/>
      <c r="S2875" s="12"/>
      <c r="X2875" s="12"/>
      <c r="AM2875" s="12"/>
    </row>
    <row r="2876" spans="9:39" x14ac:dyDescent="0.3">
      <c r="I2876" s="12"/>
      <c r="N2876" s="12"/>
      <c r="S2876" s="12"/>
      <c r="X2876" s="12"/>
      <c r="AM2876" s="12"/>
    </row>
    <row r="2877" spans="9:39" x14ac:dyDescent="0.3">
      <c r="I2877" s="12"/>
      <c r="N2877" s="12"/>
      <c r="S2877" s="12"/>
      <c r="X2877" s="12"/>
      <c r="AM2877" s="12"/>
    </row>
    <row r="2878" spans="9:39" x14ac:dyDescent="0.3">
      <c r="I2878" s="12"/>
      <c r="N2878" s="12"/>
      <c r="S2878" s="12"/>
      <c r="X2878" s="12"/>
      <c r="AM2878" s="12"/>
    </row>
    <row r="2879" spans="9:39" x14ac:dyDescent="0.3">
      <c r="I2879" s="12"/>
      <c r="N2879" s="12"/>
      <c r="S2879" s="12"/>
      <c r="X2879" s="12"/>
      <c r="AM2879" s="12"/>
    </row>
    <row r="2880" spans="9:39" x14ac:dyDescent="0.3">
      <c r="I2880" s="12"/>
      <c r="N2880" s="12"/>
      <c r="S2880" s="12"/>
      <c r="X2880" s="12"/>
      <c r="AM2880" s="12"/>
    </row>
    <row r="2881" spans="9:39" x14ac:dyDescent="0.3">
      <c r="I2881" s="12"/>
      <c r="N2881" s="12"/>
      <c r="S2881" s="12"/>
      <c r="X2881" s="12"/>
      <c r="AM2881" s="12"/>
    </row>
    <row r="2882" spans="9:39" x14ac:dyDescent="0.3">
      <c r="I2882" s="12"/>
      <c r="N2882" s="12"/>
      <c r="S2882" s="12"/>
      <c r="X2882" s="12"/>
      <c r="AM2882" s="12"/>
    </row>
    <row r="2883" spans="9:39" x14ac:dyDescent="0.3">
      <c r="I2883" s="12"/>
      <c r="N2883" s="12"/>
      <c r="S2883" s="12"/>
      <c r="X2883" s="12"/>
      <c r="AM2883" s="12"/>
    </row>
    <row r="2884" spans="9:39" x14ac:dyDescent="0.3">
      <c r="I2884" s="12"/>
      <c r="N2884" s="12"/>
      <c r="S2884" s="12"/>
      <c r="X2884" s="12"/>
      <c r="AM2884" s="12"/>
    </row>
    <row r="2885" spans="9:39" x14ac:dyDescent="0.3">
      <c r="I2885" s="12"/>
      <c r="N2885" s="12"/>
      <c r="S2885" s="12"/>
      <c r="X2885" s="12"/>
      <c r="AM2885" s="12"/>
    </row>
    <row r="2886" spans="9:39" x14ac:dyDescent="0.3">
      <c r="I2886" s="12"/>
      <c r="N2886" s="12"/>
      <c r="S2886" s="12"/>
      <c r="X2886" s="12"/>
      <c r="AM2886" s="12"/>
    </row>
    <row r="2887" spans="9:39" x14ac:dyDescent="0.3">
      <c r="I2887" s="12"/>
      <c r="N2887" s="12"/>
      <c r="S2887" s="12"/>
      <c r="X2887" s="12"/>
      <c r="AM2887" s="12"/>
    </row>
    <row r="2888" spans="9:39" x14ac:dyDescent="0.3">
      <c r="I2888" s="12"/>
      <c r="N2888" s="12"/>
      <c r="S2888" s="12"/>
      <c r="X2888" s="12"/>
      <c r="AM2888" s="12"/>
    </row>
    <row r="2889" spans="9:39" x14ac:dyDescent="0.3">
      <c r="I2889" s="12"/>
      <c r="N2889" s="12"/>
      <c r="S2889" s="12"/>
      <c r="X2889" s="12"/>
      <c r="AM2889" s="12"/>
    </row>
    <row r="2890" spans="9:39" x14ac:dyDescent="0.3">
      <c r="I2890" s="12"/>
      <c r="N2890" s="12"/>
      <c r="S2890" s="12"/>
      <c r="X2890" s="12"/>
      <c r="AM2890" s="12"/>
    </row>
    <row r="2891" spans="9:39" x14ac:dyDescent="0.3">
      <c r="I2891" s="12"/>
      <c r="N2891" s="12"/>
      <c r="S2891" s="12"/>
      <c r="X2891" s="12"/>
      <c r="AM2891" s="12"/>
    </row>
    <row r="2892" spans="9:39" x14ac:dyDescent="0.3">
      <c r="I2892" s="12"/>
      <c r="N2892" s="12"/>
      <c r="S2892" s="12"/>
      <c r="X2892" s="12"/>
      <c r="AM2892" s="12"/>
    </row>
    <row r="2893" spans="9:39" x14ac:dyDescent="0.3">
      <c r="I2893" s="12"/>
      <c r="N2893" s="12"/>
      <c r="S2893" s="12"/>
      <c r="X2893" s="12"/>
      <c r="AM2893" s="12"/>
    </row>
    <row r="2894" spans="9:39" x14ac:dyDescent="0.3">
      <c r="I2894" s="12"/>
      <c r="N2894" s="12"/>
      <c r="S2894" s="12"/>
      <c r="X2894" s="12"/>
      <c r="AM2894" s="12"/>
    </row>
    <row r="2895" spans="9:39" x14ac:dyDescent="0.3">
      <c r="I2895" s="12"/>
      <c r="N2895" s="12"/>
      <c r="S2895" s="12"/>
      <c r="X2895" s="12"/>
      <c r="AM2895" s="12"/>
    </row>
    <row r="2896" spans="9:39" x14ac:dyDescent="0.3">
      <c r="I2896" s="12"/>
      <c r="N2896" s="12"/>
      <c r="S2896" s="12"/>
      <c r="X2896" s="12"/>
      <c r="AM2896" s="12"/>
    </row>
    <row r="2897" spans="9:39" x14ac:dyDescent="0.3">
      <c r="I2897" s="12"/>
      <c r="N2897" s="12"/>
      <c r="S2897" s="12"/>
      <c r="X2897" s="12"/>
      <c r="AM2897" s="12"/>
    </row>
    <row r="2898" spans="9:39" x14ac:dyDescent="0.3">
      <c r="I2898" s="12"/>
      <c r="N2898" s="12"/>
      <c r="S2898" s="12"/>
      <c r="X2898" s="12"/>
      <c r="AM2898" s="12"/>
    </row>
    <row r="2899" spans="9:39" x14ac:dyDescent="0.3">
      <c r="I2899" s="12"/>
      <c r="N2899" s="12"/>
      <c r="S2899" s="12"/>
      <c r="X2899" s="12"/>
      <c r="AM2899" s="12"/>
    </row>
    <row r="2900" spans="9:39" x14ac:dyDescent="0.3">
      <c r="I2900" s="12"/>
      <c r="N2900" s="12"/>
      <c r="S2900" s="12"/>
      <c r="X2900" s="12"/>
      <c r="AM2900" s="12"/>
    </row>
    <row r="2901" spans="9:39" x14ac:dyDescent="0.3">
      <c r="I2901" s="12"/>
      <c r="N2901" s="12"/>
      <c r="S2901" s="12"/>
      <c r="X2901" s="12"/>
      <c r="AM2901" s="12"/>
    </row>
    <row r="2902" spans="9:39" x14ac:dyDescent="0.3">
      <c r="I2902" s="12"/>
      <c r="N2902" s="12"/>
      <c r="S2902" s="12"/>
      <c r="X2902" s="12"/>
      <c r="AM2902" s="12"/>
    </row>
    <row r="2903" spans="9:39" x14ac:dyDescent="0.3">
      <c r="I2903" s="12"/>
      <c r="N2903" s="12"/>
      <c r="S2903" s="12"/>
      <c r="X2903" s="12"/>
      <c r="AM2903" s="12"/>
    </row>
    <row r="2904" spans="9:39" x14ac:dyDescent="0.3">
      <c r="I2904" s="12"/>
      <c r="N2904" s="12"/>
      <c r="S2904" s="12"/>
      <c r="X2904" s="12"/>
      <c r="AM2904" s="12"/>
    </row>
    <row r="2905" spans="9:39" x14ac:dyDescent="0.3">
      <c r="I2905" s="12"/>
      <c r="N2905" s="12"/>
      <c r="S2905" s="12"/>
      <c r="X2905" s="12"/>
      <c r="AM2905" s="12"/>
    </row>
    <row r="2906" spans="9:39" x14ac:dyDescent="0.3">
      <c r="I2906" s="12"/>
      <c r="N2906" s="12"/>
      <c r="S2906" s="12"/>
      <c r="X2906" s="12"/>
      <c r="AM2906" s="12"/>
    </row>
    <row r="2907" spans="9:39" x14ac:dyDescent="0.3">
      <c r="I2907" s="12"/>
      <c r="N2907" s="12"/>
      <c r="S2907" s="12"/>
      <c r="X2907" s="12"/>
      <c r="AM2907" s="12"/>
    </row>
    <row r="2908" spans="9:39" x14ac:dyDescent="0.3">
      <c r="I2908" s="12"/>
      <c r="N2908" s="12"/>
      <c r="S2908" s="12"/>
      <c r="X2908" s="12"/>
      <c r="AM2908" s="12"/>
    </row>
    <row r="2909" spans="9:39" x14ac:dyDescent="0.3">
      <c r="I2909" s="12"/>
      <c r="N2909" s="12"/>
      <c r="S2909" s="12"/>
      <c r="X2909" s="12"/>
      <c r="AM2909" s="12"/>
    </row>
    <row r="2910" spans="9:39" x14ac:dyDescent="0.3">
      <c r="I2910" s="12"/>
      <c r="N2910" s="12"/>
      <c r="S2910" s="12"/>
      <c r="X2910" s="12"/>
      <c r="AM2910" s="12"/>
    </row>
    <row r="2911" spans="9:39" x14ac:dyDescent="0.3">
      <c r="I2911" s="12"/>
      <c r="N2911" s="12"/>
      <c r="S2911" s="12"/>
      <c r="X2911" s="12"/>
      <c r="AM2911" s="12"/>
    </row>
    <row r="2912" spans="9:39" x14ac:dyDescent="0.3">
      <c r="I2912" s="12"/>
      <c r="N2912" s="12"/>
      <c r="S2912" s="12"/>
      <c r="X2912" s="12"/>
      <c r="AM2912" s="12"/>
    </row>
    <row r="2913" spans="9:39" x14ac:dyDescent="0.3">
      <c r="I2913" s="12"/>
      <c r="N2913" s="12"/>
      <c r="S2913" s="12"/>
      <c r="X2913" s="12"/>
      <c r="AM2913" s="12"/>
    </row>
    <row r="2914" spans="9:39" x14ac:dyDescent="0.3">
      <c r="I2914" s="12"/>
      <c r="N2914" s="12"/>
      <c r="S2914" s="12"/>
      <c r="X2914" s="12"/>
      <c r="AM2914" s="12"/>
    </row>
    <row r="2915" spans="9:39" x14ac:dyDescent="0.3">
      <c r="I2915" s="12"/>
      <c r="N2915" s="12"/>
      <c r="S2915" s="12"/>
      <c r="X2915" s="12"/>
      <c r="AM2915" s="12"/>
    </row>
    <row r="2916" spans="9:39" x14ac:dyDescent="0.3">
      <c r="I2916" s="12"/>
      <c r="N2916" s="12"/>
      <c r="S2916" s="12"/>
      <c r="X2916" s="12"/>
      <c r="AM2916" s="12"/>
    </row>
    <row r="2917" spans="9:39" x14ac:dyDescent="0.3">
      <c r="I2917" s="12"/>
      <c r="N2917" s="12"/>
      <c r="S2917" s="12"/>
      <c r="X2917" s="12"/>
      <c r="AM2917" s="12"/>
    </row>
    <row r="2918" spans="9:39" x14ac:dyDescent="0.3">
      <c r="I2918" s="12"/>
      <c r="N2918" s="12"/>
      <c r="S2918" s="12"/>
      <c r="X2918" s="12"/>
      <c r="AM2918" s="12"/>
    </row>
    <row r="2919" spans="9:39" x14ac:dyDescent="0.3">
      <c r="I2919" s="12"/>
      <c r="N2919" s="12"/>
      <c r="S2919" s="12"/>
      <c r="X2919" s="12"/>
      <c r="AM2919" s="12"/>
    </row>
    <row r="2920" spans="9:39" x14ac:dyDescent="0.3">
      <c r="I2920" s="12"/>
      <c r="N2920" s="12"/>
      <c r="S2920" s="12"/>
      <c r="X2920" s="12"/>
      <c r="AM2920" s="12"/>
    </row>
    <row r="2921" spans="9:39" x14ac:dyDescent="0.3">
      <c r="I2921" s="12"/>
      <c r="N2921" s="12"/>
      <c r="S2921" s="12"/>
      <c r="X2921" s="12"/>
      <c r="AM2921" s="12"/>
    </row>
    <row r="2922" spans="9:39" x14ac:dyDescent="0.3">
      <c r="I2922" s="12"/>
      <c r="N2922" s="12"/>
      <c r="S2922" s="12"/>
      <c r="X2922" s="12"/>
      <c r="AM2922" s="12"/>
    </row>
    <row r="2923" spans="9:39" x14ac:dyDescent="0.3">
      <c r="I2923" s="12"/>
      <c r="N2923" s="12"/>
      <c r="S2923" s="12"/>
      <c r="X2923" s="12"/>
      <c r="AM2923" s="12"/>
    </row>
    <row r="2924" spans="9:39" x14ac:dyDescent="0.3">
      <c r="I2924" s="12"/>
      <c r="N2924" s="12"/>
      <c r="S2924" s="12"/>
      <c r="X2924" s="12"/>
      <c r="AM2924" s="12"/>
    </row>
    <row r="2925" spans="9:39" x14ac:dyDescent="0.3">
      <c r="I2925" s="12"/>
      <c r="N2925" s="12"/>
      <c r="S2925" s="12"/>
      <c r="X2925" s="12"/>
      <c r="AM2925" s="12"/>
    </row>
    <row r="2926" spans="9:39" x14ac:dyDescent="0.3">
      <c r="I2926" s="12"/>
      <c r="N2926" s="12"/>
      <c r="S2926" s="12"/>
      <c r="X2926" s="12"/>
      <c r="AM2926" s="12"/>
    </row>
    <row r="2927" spans="9:39" x14ac:dyDescent="0.3">
      <c r="I2927" s="12"/>
      <c r="N2927" s="12"/>
      <c r="S2927" s="12"/>
      <c r="X2927" s="12"/>
      <c r="AM2927" s="12"/>
    </row>
    <row r="2928" spans="9:39" x14ac:dyDescent="0.3">
      <c r="I2928" s="12"/>
      <c r="N2928" s="12"/>
      <c r="S2928" s="12"/>
      <c r="X2928" s="12"/>
      <c r="AM2928" s="12"/>
    </row>
    <row r="2929" spans="9:39" x14ac:dyDescent="0.3">
      <c r="I2929" s="12"/>
      <c r="N2929" s="12"/>
      <c r="S2929" s="12"/>
      <c r="X2929" s="12"/>
      <c r="AM2929" s="12"/>
    </row>
    <row r="2930" spans="9:39" x14ac:dyDescent="0.3">
      <c r="I2930" s="12"/>
      <c r="N2930" s="12"/>
      <c r="S2930" s="12"/>
      <c r="X2930" s="12"/>
      <c r="AM2930" s="12"/>
    </row>
    <row r="2931" spans="9:39" x14ac:dyDescent="0.3">
      <c r="I2931" s="12"/>
      <c r="N2931" s="12"/>
      <c r="S2931" s="12"/>
      <c r="X2931" s="12"/>
      <c r="AM2931" s="12"/>
    </row>
    <row r="2932" spans="9:39" x14ac:dyDescent="0.3">
      <c r="I2932" s="12"/>
      <c r="N2932" s="12"/>
      <c r="S2932" s="12"/>
      <c r="X2932" s="12"/>
      <c r="AM2932" s="12"/>
    </row>
    <row r="2933" spans="9:39" x14ac:dyDescent="0.3">
      <c r="I2933" s="12"/>
      <c r="N2933" s="12"/>
      <c r="S2933" s="12"/>
      <c r="X2933" s="12"/>
      <c r="AM2933" s="12"/>
    </row>
    <row r="2934" spans="9:39" x14ac:dyDescent="0.3">
      <c r="I2934" s="12"/>
      <c r="N2934" s="12"/>
      <c r="S2934" s="12"/>
      <c r="X2934" s="12"/>
      <c r="AM2934" s="12"/>
    </row>
    <row r="2935" spans="9:39" x14ac:dyDescent="0.3">
      <c r="I2935" s="12"/>
      <c r="N2935" s="12"/>
      <c r="S2935" s="12"/>
      <c r="X2935" s="12"/>
      <c r="AM2935" s="12"/>
    </row>
    <row r="2936" spans="9:39" x14ac:dyDescent="0.3">
      <c r="I2936" s="12"/>
      <c r="N2936" s="12"/>
      <c r="S2936" s="12"/>
      <c r="X2936" s="12"/>
      <c r="AM2936" s="12"/>
    </row>
    <row r="2937" spans="9:39" x14ac:dyDescent="0.3">
      <c r="I2937" s="12"/>
      <c r="N2937" s="12"/>
      <c r="S2937" s="12"/>
      <c r="X2937" s="12"/>
      <c r="AM2937" s="12"/>
    </row>
    <row r="2938" spans="9:39" x14ac:dyDescent="0.3">
      <c r="I2938" s="12"/>
      <c r="N2938" s="12"/>
      <c r="S2938" s="12"/>
      <c r="X2938" s="12"/>
      <c r="AM2938" s="12"/>
    </row>
    <row r="2939" spans="9:39" x14ac:dyDescent="0.3">
      <c r="I2939" s="12"/>
      <c r="N2939" s="12"/>
      <c r="S2939" s="12"/>
      <c r="X2939" s="12"/>
      <c r="AM2939" s="12"/>
    </row>
    <row r="2940" spans="9:39" x14ac:dyDescent="0.3">
      <c r="I2940" s="12"/>
      <c r="N2940" s="12"/>
      <c r="S2940" s="12"/>
      <c r="X2940" s="12"/>
      <c r="AM2940" s="12"/>
    </row>
    <row r="2941" spans="9:39" x14ac:dyDescent="0.3">
      <c r="I2941" s="12"/>
      <c r="N2941" s="12"/>
      <c r="S2941" s="12"/>
      <c r="X2941" s="12"/>
      <c r="AM2941" s="12"/>
    </row>
    <row r="2942" spans="9:39" x14ac:dyDescent="0.3">
      <c r="I2942" s="12"/>
      <c r="N2942" s="12"/>
      <c r="S2942" s="12"/>
      <c r="X2942" s="12"/>
      <c r="AM2942" s="12"/>
    </row>
    <row r="2943" spans="9:39" x14ac:dyDescent="0.3">
      <c r="I2943" s="12"/>
      <c r="N2943" s="12"/>
      <c r="S2943" s="12"/>
      <c r="X2943" s="12"/>
      <c r="AM2943" s="12"/>
    </row>
    <row r="2944" spans="9:39" x14ac:dyDescent="0.3">
      <c r="I2944" s="12"/>
      <c r="N2944" s="12"/>
      <c r="S2944" s="12"/>
      <c r="X2944" s="12"/>
      <c r="AM2944" s="12"/>
    </row>
    <row r="2945" spans="9:39" x14ac:dyDescent="0.3">
      <c r="I2945" s="12"/>
      <c r="N2945" s="12"/>
      <c r="S2945" s="12"/>
      <c r="X2945" s="12"/>
      <c r="AM2945" s="12"/>
    </row>
    <row r="2946" spans="9:39" x14ac:dyDescent="0.3">
      <c r="I2946" s="12"/>
      <c r="N2946" s="12"/>
      <c r="S2946" s="12"/>
      <c r="X2946" s="12"/>
      <c r="AM2946" s="12"/>
    </row>
    <row r="2947" spans="9:39" x14ac:dyDescent="0.3">
      <c r="I2947" s="12"/>
      <c r="N2947" s="12"/>
      <c r="S2947" s="12"/>
      <c r="X2947" s="12"/>
      <c r="AM2947" s="12"/>
    </row>
    <row r="2948" spans="9:39" x14ac:dyDescent="0.3">
      <c r="I2948" s="12"/>
      <c r="N2948" s="12"/>
      <c r="S2948" s="12"/>
      <c r="X2948" s="12"/>
      <c r="AM2948" s="12"/>
    </row>
    <row r="2949" spans="9:39" x14ac:dyDescent="0.3">
      <c r="I2949" s="12"/>
      <c r="N2949" s="12"/>
      <c r="S2949" s="12"/>
      <c r="X2949" s="12"/>
      <c r="AM2949" s="12"/>
    </row>
    <row r="2950" spans="9:39" x14ac:dyDescent="0.3">
      <c r="I2950" s="12"/>
      <c r="N2950" s="12"/>
      <c r="S2950" s="12"/>
      <c r="X2950" s="12"/>
      <c r="AM2950" s="12"/>
    </row>
    <row r="2951" spans="9:39" x14ac:dyDescent="0.3">
      <c r="I2951" s="12"/>
      <c r="N2951" s="12"/>
      <c r="S2951" s="12"/>
      <c r="X2951" s="12"/>
      <c r="AM2951" s="12"/>
    </row>
    <row r="2952" spans="9:39" x14ac:dyDescent="0.3">
      <c r="I2952" s="12"/>
      <c r="N2952" s="12"/>
      <c r="S2952" s="12"/>
      <c r="X2952" s="12"/>
      <c r="AM2952" s="12"/>
    </row>
    <row r="2953" spans="9:39" x14ac:dyDescent="0.3">
      <c r="I2953" s="12"/>
      <c r="N2953" s="12"/>
      <c r="S2953" s="12"/>
      <c r="X2953" s="12"/>
      <c r="AM2953" s="12"/>
    </row>
    <row r="2954" spans="9:39" x14ac:dyDescent="0.3">
      <c r="I2954" s="12"/>
      <c r="N2954" s="12"/>
      <c r="S2954" s="12"/>
      <c r="X2954" s="12"/>
      <c r="AM2954" s="12"/>
    </row>
    <row r="2955" spans="9:39" x14ac:dyDescent="0.3">
      <c r="I2955" s="12"/>
      <c r="N2955" s="12"/>
      <c r="S2955" s="12"/>
      <c r="X2955" s="12"/>
      <c r="AM2955" s="12"/>
    </row>
    <row r="2956" spans="9:39" x14ac:dyDescent="0.3">
      <c r="I2956" s="12"/>
      <c r="N2956" s="12"/>
      <c r="S2956" s="12"/>
      <c r="X2956" s="12"/>
      <c r="AM2956" s="12"/>
    </row>
    <row r="2957" spans="9:39" x14ac:dyDescent="0.3">
      <c r="I2957" s="12"/>
      <c r="N2957" s="12"/>
      <c r="S2957" s="12"/>
      <c r="X2957" s="12"/>
      <c r="AM2957" s="12"/>
    </row>
    <row r="2958" spans="9:39" x14ac:dyDescent="0.3">
      <c r="I2958" s="12"/>
      <c r="N2958" s="12"/>
      <c r="S2958" s="12"/>
      <c r="X2958" s="12"/>
      <c r="AM2958" s="12"/>
    </row>
    <row r="2959" spans="9:39" x14ac:dyDescent="0.3">
      <c r="I2959" s="12"/>
      <c r="N2959" s="12"/>
      <c r="S2959" s="12"/>
      <c r="X2959" s="12"/>
      <c r="AM2959" s="12"/>
    </row>
    <row r="2960" spans="9:39" x14ac:dyDescent="0.3">
      <c r="I2960" s="12"/>
      <c r="N2960" s="12"/>
      <c r="S2960" s="12"/>
      <c r="X2960" s="12"/>
      <c r="AM2960" s="12"/>
    </row>
    <row r="2961" spans="9:39" x14ac:dyDescent="0.3">
      <c r="I2961" s="12"/>
      <c r="N2961" s="12"/>
      <c r="S2961" s="12"/>
      <c r="X2961" s="12"/>
      <c r="AM2961" s="12"/>
    </row>
    <row r="2962" spans="9:39" x14ac:dyDescent="0.3">
      <c r="I2962" s="12"/>
      <c r="N2962" s="12"/>
      <c r="S2962" s="12"/>
      <c r="X2962" s="12"/>
      <c r="AM2962" s="12"/>
    </row>
    <row r="2963" spans="9:39" x14ac:dyDescent="0.3">
      <c r="I2963" s="12"/>
      <c r="N2963" s="12"/>
      <c r="S2963" s="12"/>
      <c r="X2963" s="12"/>
      <c r="AM2963" s="12"/>
    </row>
    <row r="2964" spans="9:39" x14ac:dyDescent="0.3">
      <c r="I2964" s="12"/>
      <c r="N2964" s="12"/>
      <c r="S2964" s="12"/>
      <c r="X2964" s="12"/>
      <c r="AM2964" s="12"/>
    </row>
    <row r="2965" spans="9:39" x14ac:dyDescent="0.3">
      <c r="I2965" s="12"/>
      <c r="N2965" s="12"/>
      <c r="S2965" s="12"/>
      <c r="X2965" s="12"/>
      <c r="AM2965" s="12"/>
    </row>
    <row r="2966" spans="9:39" x14ac:dyDescent="0.3">
      <c r="I2966" s="12"/>
      <c r="N2966" s="12"/>
      <c r="S2966" s="12"/>
      <c r="X2966" s="12"/>
      <c r="AM2966" s="12"/>
    </row>
    <row r="2967" spans="9:39" x14ac:dyDescent="0.3">
      <c r="I2967" s="12"/>
      <c r="N2967" s="12"/>
      <c r="S2967" s="12"/>
      <c r="X2967" s="12"/>
      <c r="AM2967" s="12"/>
    </row>
    <row r="2968" spans="9:39" x14ac:dyDescent="0.3">
      <c r="I2968" s="12"/>
      <c r="N2968" s="12"/>
      <c r="S2968" s="12"/>
      <c r="X2968" s="12"/>
      <c r="AM2968" s="12"/>
    </row>
    <row r="2969" spans="9:39" x14ac:dyDescent="0.3">
      <c r="I2969" s="12"/>
      <c r="N2969" s="12"/>
      <c r="S2969" s="12"/>
      <c r="X2969" s="12"/>
      <c r="AM2969" s="12"/>
    </row>
    <row r="2970" spans="9:39" x14ac:dyDescent="0.3">
      <c r="I2970" s="12"/>
      <c r="N2970" s="12"/>
      <c r="S2970" s="12"/>
      <c r="X2970" s="12"/>
      <c r="AM2970" s="12"/>
    </row>
    <row r="2971" spans="9:39" x14ac:dyDescent="0.3">
      <c r="I2971" s="12"/>
      <c r="N2971" s="12"/>
      <c r="S2971" s="12"/>
      <c r="X2971" s="12"/>
      <c r="AM2971" s="12"/>
    </row>
    <row r="2972" spans="9:39" x14ac:dyDescent="0.3">
      <c r="I2972" s="12"/>
      <c r="N2972" s="12"/>
      <c r="S2972" s="12"/>
      <c r="X2972" s="12"/>
      <c r="AM2972" s="12"/>
    </row>
    <row r="2973" spans="9:39" x14ac:dyDescent="0.3">
      <c r="I2973" s="12"/>
      <c r="N2973" s="12"/>
      <c r="S2973" s="12"/>
      <c r="X2973" s="12"/>
      <c r="AM2973" s="12"/>
    </row>
    <row r="2974" spans="9:39" x14ac:dyDescent="0.3">
      <c r="I2974" s="12"/>
      <c r="N2974" s="12"/>
      <c r="S2974" s="12"/>
      <c r="X2974" s="12"/>
      <c r="AM2974" s="12"/>
    </row>
    <row r="2975" spans="9:39" x14ac:dyDescent="0.3">
      <c r="I2975" s="12"/>
      <c r="N2975" s="12"/>
      <c r="S2975" s="12"/>
      <c r="X2975" s="12"/>
      <c r="AM2975" s="12"/>
    </row>
    <row r="2976" spans="9:39" x14ac:dyDescent="0.3">
      <c r="I2976" s="12"/>
      <c r="N2976" s="12"/>
      <c r="S2976" s="12"/>
      <c r="X2976" s="12"/>
      <c r="AM2976" s="12"/>
    </row>
    <row r="2977" spans="9:39" x14ac:dyDescent="0.3">
      <c r="I2977" s="12"/>
      <c r="N2977" s="12"/>
      <c r="S2977" s="12"/>
      <c r="X2977" s="12"/>
      <c r="AM2977" s="12"/>
    </row>
    <row r="2978" spans="9:39" x14ac:dyDescent="0.3">
      <c r="I2978" s="12"/>
      <c r="N2978" s="12"/>
      <c r="S2978" s="12"/>
      <c r="X2978" s="12"/>
      <c r="AM2978" s="12"/>
    </row>
    <row r="2979" spans="9:39" x14ac:dyDescent="0.3">
      <c r="I2979" s="12"/>
      <c r="N2979" s="12"/>
      <c r="S2979" s="12"/>
      <c r="X2979" s="12"/>
      <c r="AM2979" s="12"/>
    </row>
    <row r="2980" spans="9:39" x14ac:dyDescent="0.3">
      <c r="I2980" s="12"/>
      <c r="N2980" s="12"/>
      <c r="S2980" s="12"/>
      <c r="X2980" s="12"/>
      <c r="AM2980" s="12"/>
    </row>
    <row r="2981" spans="9:39" x14ac:dyDescent="0.3">
      <c r="I2981" s="12"/>
      <c r="N2981" s="12"/>
      <c r="S2981" s="12"/>
      <c r="X2981" s="12"/>
      <c r="AM2981" s="12"/>
    </row>
    <row r="2982" spans="9:39" x14ac:dyDescent="0.3">
      <c r="I2982" s="12"/>
      <c r="N2982" s="12"/>
      <c r="S2982" s="12"/>
      <c r="X2982" s="12"/>
      <c r="AM2982" s="12"/>
    </row>
    <row r="2983" spans="9:39" x14ac:dyDescent="0.3">
      <c r="I2983" s="12"/>
      <c r="N2983" s="12"/>
      <c r="S2983" s="12"/>
      <c r="X2983" s="12"/>
      <c r="AM2983" s="12"/>
    </row>
    <row r="2984" spans="9:39" x14ac:dyDescent="0.3">
      <c r="I2984" s="12"/>
      <c r="N2984" s="12"/>
      <c r="S2984" s="12"/>
      <c r="X2984" s="12"/>
      <c r="AM2984" s="12"/>
    </row>
    <row r="2985" spans="9:39" x14ac:dyDescent="0.3">
      <c r="I2985" s="12"/>
      <c r="N2985" s="12"/>
      <c r="S2985" s="12"/>
      <c r="X2985" s="12"/>
      <c r="AM2985" s="12"/>
    </row>
    <row r="2986" spans="9:39" x14ac:dyDescent="0.3">
      <c r="I2986" s="12"/>
      <c r="N2986" s="12"/>
      <c r="S2986" s="12"/>
      <c r="X2986" s="12"/>
      <c r="AM2986" s="12"/>
    </row>
    <row r="2987" spans="9:39" x14ac:dyDescent="0.3">
      <c r="I2987" s="12"/>
      <c r="N2987" s="12"/>
      <c r="S2987" s="12"/>
      <c r="X2987" s="12"/>
      <c r="AM2987" s="12"/>
    </row>
    <row r="2988" spans="9:39" x14ac:dyDescent="0.3">
      <c r="I2988" s="12"/>
      <c r="N2988" s="12"/>
      <c r="S2988" s="12"/>
      <c r="X2988" s="12"/>
      <c r="AM2988" s="12"/>
    </row>
    <row r="2989" spans="9:39" x14ac:dyDescent="0.3">
      <c r="I2989" s="12"/>
      <c r="N2989" s="12"/>
      <c r="S2989" s="12"/>
      <c r="X2989" s="12"/>
      <c r="AM2989" s="12"/>
    </row>
    <row r="2990" spans="9:39" x14ac:dyDescent="0.3">
      <c r="I2990" s="12"/>
      <c r="N2990" s="12"/>
      <c r="S2990" s="12"/>
      <c r="X2990" s="12"/>
      <c r="AM2990" s="12"/>
    </row>
    <row r="2991" spans="9:39" x14ac:dyDescent="0.3">
      <c r="I2991" s="12"/>
      <c r="N2991" s="12"/>
      <c r="S2991" s="12"/>
      <c r="X2991" s="12"/>
      <c r="AM2991" s="12"/>
    </row>
    <row r="2992" spans="9:39" x14ac:dyDescent="0.3">
      <c r="I2992" s="12"/>
      <c r="N2992" s="12"/>
      <c r="S2992" s="12"/>
      <c r="X2992" s="12"/>
      <c r="AM2992" s="12"/>
    </row>
    <row r="2993" spans="9:39" x14ac:dyDescent="0.3">
      <c r="I2993" s="12"/>
      <c r="N2993" s="12"/>
      <c r="S2993" s="12"/>
      <c r="X2993" s="12"/>
      <c r="AM2993" s="12"/>
    </row>
    <row r="2994" spans="9:39" x14ac:dyDescent="0.3">
      <c r="I2994" s="12"/>
      <c r="N2994" s="12"/>
      <c r="S2994" s="12"/>
      <c r="X2994" s="12"/>
      <c r="AM2994" s="12"/>
    </row>
    <row r="2995" spans="9:39" x14ac:dyDescent="0.3">
      <c r="I2995" s="12"/>
      <c r="N2995" s="12"/>
      <c r="S2995" s="12"/>
      <c r="X2995" s="12"/>
      <c r="AM2995" s="12"/>
    </row>
    <row r="2996" spans="9:39" x14ac:dyDescent="0.3">
      <c r="I2996" s="12"/>
      <c r="N2996" s="12"/>
      <c r="S2996" s="12"/>
      <c r="X2996" s="12"/>
      <c r="AM2996" s="12"/>
    </row>
    <row r="2997" spans="9:39" x14ac:dyDescent="0.3">
      <c r="I2997" s="12"/>
      <c r="N2997" s="12"/>
      <c r="S2997" s="12"/>
      <c r="X2997" s="12"/>
      <c r="AM2997" s="12"/>
    </row>
    <row r="2998" spans="9:39" x14ac:dyDescent="0.3">
      <c r="I2998" s="12"/>
      <c r="N2998" s="12"/>
      <c r="S2998" s="12"/>
      <c r="X2998" s="12"/>
      <c r="AM2998" s="12"/>
    </row>
    <row r="2999" spans="9:39" x14ac:dyDescent="0.3">
      <c r="I2999" s="12"/>
      <c r="N2999" s="12"/>
      <c r="S2999" s="12"/>
      <c r="X2999" s="12"/>
      <c r="AM2999" s="12"/>
    </row>
    <row r="3000" spans="9:39" x14ac:dyDescent="0.3">
      <c r="I3000" s="12"/>
      <c r="N3000" s="12"/>
      <c r="S3000" s="12"/>
      <c r="X3000" s="12"/>
      <c r="AM3000" s="12"/>
    </row>
    <row r="3001" spans="9:39" x14ac:dyDescent="0.3">
      <c r="I3001" s="12"/>
      <c r="N3001" s="12"/>
      <c r="S3001" s="12"/>
      <c r="X3001" s="12"/>
      <c r="AM3001" s="12"/>
    </row>
    <row r="3002" spans="9:39" x14ac:dyDescent="0.3">
      <c r="I3002" s="12"/>
      <c r="N3002" s="12"/>
      <c r="S3002" s="12"/>
      <c r="X3002" s="12"/>
      <c r="AM3002" s="12"/>
    </row>
    <row r="3003" spans="9:39" x14ac:dyDescent="0.3">
      <c r="I3003" s="12"/>
      <c r="N3003" s="12"/>
      <c r="S3003" s="12"/>
      <c r="X3003" s="12"/>
      <c r="AM3003" s="12"/>
    </row>
    <row r="3004" spans="9:39" x14ac:dyDescent="0.3">
      <c r="I3004" s="12"/>
      <c r="N3004" s="12"/>
      <c r="S3004" s="12"/>
      <c r="X3004" s="12"/>
      <c r="AM3004" s="12"/>
    </row>
    <row r="3005" spans="9:39" x14ac:dyDescent="0.3">
      <c r="I3005" s="12"/>
      <c r="N3005" s="12"/>
      <c r="S3005" s="12"/>
      <c r="X3005" s="12"/>
      <c r="AM3005" s="12"/>
    </row>
    <row r="3006" spans="9:39" x14ac:dyDescent="0.3">
      <c r="I3006" s="12"/>
      <c r="N3006" s="12"/>
      <c r="S3006" s="12"/>
      <c r="X3006" s="12"/>
      <c r="AM3006" s="12"/>
    </row>
    <row r="3007" spans="9:39" x14ac:dyDescent="0.3">
      <c r="I3007" s="12"/>
      <c r="N3007" s="12"/>
      <c r="S3007" s="12"/>
      <c r="X3007" s="12"/>
      <c r="AM3007" s="12"/>
    </row>
    <row r="3008" spans="9:39" x14ac:dyDescent="0.3">
      <c r="I3008" s="12"/>
      <c r="N3008" s="12"/>
      <c r="S3008" s="12"/>
      <c r="X3008" s="12"/>
      <c r="AM3008" s="12"/>
    </row>
    <row r="3009" spans="9:39" x14ac:dyDescent="0.3">
      <c r="I3009" s="12"/>
      <c r="N3009" s="12"/>
      <c r="S3009" s="12"/>
      <c r="X3009" s="12"/>
      <c r="AM3009" s="12"/>
    </row>
    <row r="3010" spans="9:39" x14ac:dyDescent="0.3">
      <c r="I3010" s="12"/>
      <c r="N3010" s="12"/>
      <c r="S3010" s="12"/>
      <c r="X3010" s="12"/>
      <c r="AM3010" s="12"/>
    </row>
    <row r="3011" spans="9:39" x14ac:dyDescent="0.3">
      <c r="I3011" s="12"/>
      <c r="N3011" s="12"/>
      <c r="S3011" s="12"/>
      <c r="X3011" s="12"/>
      <c r="AM3011" s="12"/>
    </row>
    <row r="3012" spans="9:39" x14ac:dyDescent="0.3">
      <c r="I3012" s="12"/>
      <c r="N3012" s="12"/>
      <c r="S3012" s="12"/>
      <c r="X3012" s="12"/>
      <c r="AM3012" s="12"/>
    </row>
    <row r="3013" spans="9:39" x14ac:dyDescent="0.3">
      <c r="I3013" s="12"/>
      <c r="N3013" s="12"/>
      <c r="S3013" s="12"/>
      <c r="X3013" s="12"/>
      <c r="AM3013" s="12"/>
    </row>
    <row r="3014" spans="9:39" x14ac:dyDescent="0.3">
      <c r="I3014" s="12"/>
      <c r="N3014" s="12"/>
      <c r="S3014" s="12"/>
      <c r="X3014" s="12"/>
      <c r="AM3014" s="12"/>
    </row>
    <row r="3015" spans="9:39" x14ac:dyDescent="0.3">
      <c r="I3015" s="12"/>
      <c r="N3015" s="12"/>
      <c r="S3015" s="12"/>
      <c r="X3015" s="12"/>
      <c r="AM3015" s="12"/>
    </row>
    <row r="3016" spans="9:39" x14ac:dyDescent="0.3">
      <c r="I3016" s="12"/>
      <c r="N3016" s="12"/>
      <c r="S3016" s="12"/>
      <c r="X3016" s="12"/>
      <c r="AM3016" s="12"/>
    </row>
    <row r="3017" spans="9:39" x14ac:dyDescent="0.3">
      <c r="I3017" s="12"/>
      <c r="N3017" s="12"/>
      <c r="S3017" s="12"/>
      <c r="X3017" s="12"/>
      <c r="AM3017" s="12"/>
    </row>
    <row r="3018" spans="9:39" x14ac:dyDescent="0.3">
      <c r="I3018" s="12"/>
      <c r="N3018" s="12"/>
      <c r="S3018" s="12"/>
      <c r="X3018" s="12"/>
      <c r="AM3018" s="12"/>
    </row>
    <row r="3019" spans="9:39" x14ac:dyDescent="0.3">
      <c r="I3019" s="12"/>
      <c r="N3019" s="12"/>
      <c r="S3019" s="12"/>
      <c r="X3019" s="12"/>
      <c r="AM3019" s="12"/>
    </row>
    <row r="3020" spans="9:39" x14ac:dyDescent="0.3">
      <c r="I3020" s="12"/>
      <c r="N3020" s="12"/>
      <c r="S3020" s="12"/>
      <c r="X3020" s="12"/>
      <c r="AM3020" s="12"/>
    </row>
    <row r="3021" spans="9:39" x14ac:dyDescent="0.3">
      <c r="I3021" s="12"/>
      <c r="N3021" s="12"/>
      <c r="S3021" s="12"/>
      <c r="X3021" s="12"/>
      <c r="AM3021" s="12"/>
    </row>
    <row r="3022" spans="9:39" x14ac:dyDescent="0.3">
      <c r="I3022" s="12"/>
      <c r="N3022" s="12"/>
      <c r="S3022" s="12"/>
      <c r="X3022" s="12"/>
      <c r="AM3022" s="12"/>
    </row>
    <row r="3023" spans="9:39" x14ac:dyDescent="0.3">
      <c r="I3023" s="12"/>
      <c r="N3023" s="12"/>
      <c r="S3023" s="12"/>
      <c r="X3023" s="12"/>
      <c r="AM3023" s="12"/>
    </row>
    <row r="3024" spans="9:39" x14ac:dyDescent="0.3">
      <c r="I3024" s="12"/>
      <c r="N3024" s="12"/>
      <c r="S3024" s="12"/>
      <c r="X3024" s="12"/>
      <c r="AM3024" s="12"/>
    </row>
    <row r="3025" spans="9:39" x14ac:dyDescent="0.3">
      <c r="I3025" s="12"/>
      <c r="N3025" s="12"/>
      <c r="S3025" s="12"/>
      <c r="X3025" s="12"/>
      <c r="AM3025" s="12"/>
    </row>
    <row r="3026" spans="9:39" x14ac:dyDescent="0.3">
      <c r="I3026" s="12"/>
      <c r="N3026" s="12"/>
      <c r="S3026" s="12"/>
      <c r="X3026" s="12"/>
      <c r="AM3026" s="12"/>
    </row>
    <row r="3027" spans="9:39" x14ac:dyDescent="0.3">
      <c r="I3027" s="12"/>
      <c r="N3027" s="12"/>
      <c r="S3027" s="12"/>
      <c r="X3027" s="12"/>
      <c r="AM3027" s="12"/>
    </row>
    <row r="3028" spans="9:39" x14ac:dyDescent="0.3">
      <c r="I3028" s="12"/>
      <c r="N3028" s="12"/>
      <c r="S3028" s="12"/>
      <c r="X3028" s="12"/>
      <c r="AM3028" s="12"/>
    </row>
    <row r="3029" spans="9:39" x14ac:dyDescent="0.3">
      <c r="I3029" s="12"/>
      <c r="N3029" s="12"/>
      <c r="S3029" s="12"/>
      <c r="X3029" s="12"/>
      <c r="AM3029" s="12"/>
    </row>
    <row r="3030" spans="9:39" x14ac:dyDescent="0.3">
      <c r="I3030" s="12"/>
      <c r="N3030" s="12"/>
      <c r="S3030" s="12"/>
      <c r="X3030" s="12"/>
      <c r="AM3030" s="12"/>
    </row>
    <row r="3031" spans="9:39" x14ac:dyDescent="0.3">
      <c r="I3031" s="12"/>
      <c r="N3031" s="12"/>
      <c r="S3031" s="12"/>
      <c r="X3031" s="12"/>
      <c r="AM3031" s="12"/>
    </row>
    <row r="3032" spans="9:39" x14ac:dyDescent="0.3">
      <c r="I3032" s="12"/>
      <c r="N3032" s="12"/>
      <c r="S3032" s="12"/>
      <c r="X3032" s="12"/>
      <c r="AM3032" s="12"/>
    </row>
    <row r="3033" spans="9:39" x14ac:dyDescent="0.3">
      <c r="I3033" s="12"/>
      <c r="N3033" s="12"/>
      <c r="S3033" s="12"/>
      <c r="X3033" s="12"/>
      <c r="AM3033" s="12"/>
    </row>
    <row r="3034" spans="9:39" x14ac:dyDescent="0.3">
      <c r="I3034" s="12"/>
      <c r="N3034" s="12"/>
      <c r="S3034" s="12"/>
      <c r="X3034" s="12"/>
      <c r="AM3034" s="12"/>
    </row>
    <row r="3035" spans="9:39" x14ac:dyDescent="0.3">
      <c r="I3035" s="12"/>
      <c r="N3035" s="12"/>
      <c r="S3035" s="12"/>
      <c r="X3035" s="12"/>
      <c r="AM3035" s="12"/>
    </row>
    <row r="3036" spans="9:39" x14ac:dyDescent="0.3">
      <c r="I3036" s="12"/>
      <c r="N3036" s="12"/>
      <c r="S3036" s="12"/>
      <c r="X3036" s="12"/>
      <c r="AM3036" s="12"/>
    </row>
    <row r="3037" spans="9:39" x14ac:dyDescent="0.3">
      <c r="I3037" s="12"/>
      <c r="N3037" s="12"/>
      <c r="S3037" s="12"/>
      <c r="X3037" s="12"/>
      <c r="AM3037" s="12"/>
    </row>
    <row r="3038" spans="9:39" x14ac:dyDescent="0.3">
      <c r="I3038" s="12"/>
      <c r="N3038" s="12"/>
      <c r="S3038" s="12"/>
      <c r="X3038" s="12"/>
      <c r="AM3038" s="12"/>
    </row>
    <row r="3039" spans="9:39" x14ac:dyDescent="0.3">
      <c r="I3039" s="12"/>
      <c r="N3039" s="12"/>
      <c r="S3039" s="12"/>
      <c r="X3039" s="12"/>
      <c r="AM3039" s="12"/>
    </row>
    <row r="3040" spans="9:39" x14ac:dyDescent="0.3">
      <c r="I3040" s="12"/>
      <c r="N3040" s="12"/>
      <c r="S3040" s="12"/>
      <c r="X3040" s="12"/>
      <c r="AM3040" s="12"/>
    </row>
    <row r="3041" spans="9:39" x14ac:dyDescent="0.3">
      <c r="I3041" s="12"/>
      <c r="N3041" s="12"/>
      <c r="S3041" s="12"/>
      <c r="X3041" s="12"/>
      <c r="AM3041" s="12"/>
    </row>
    <row r="3042" spans="9:39" x14ac:dyDescent="0.3">
      <c r="I3042" s="12"/>
      <c r="N3042" s="12"/>
      <c r="S3042" s="12"/>
      <c r="X3042" s="12"/>
      <c r="AM3042" s="12"/>
    </row>
    <row r="3043" spans="9:39" x14ac:dyDescent="0.3">
      <c r="I3043" s="12"/>
      <c r="N3043" s="12"/>
      <c r="S3043" s="12"/>
      <c r="X3043" s="12"/>
      <c r="AM3043" s="12"/>
    </row>
    <row r="3044" spans="9:39" x14ac:dyDescent="0.3">
      <c r="I3044" s="12"/>
      <c r="N3044" s="12"/>
      <c r="S3044" s="12"/>
      <c r="X3044" s="12"/>
      <c r="AM3044" s="12"/>
    </row>
    <row r="3045" spans="9:39" x14ac:dyDescent="0.3">
      <c r="I3045" s="12"/>
      <c r="N3045" s="12"/>
      <c r="S3045" s="12"/>
      <c r="X3045" s="12"/>
      <c r="AM3045" s="12"/>
    </row>
    <row r="3046" spans="9:39" x14ac:dyDescent="0.3">
      <c r="I3046" s="12"/>
      <c r="N3046" s="12"/>
      <c r="S3046" s="12"/>
      <c r="X3046" s="12"/>
      <c r="AM3046" s="12"/>
    </row>
    <row r="3047" spans="9:39" x14ac:dyDescent="0.3">
      <c r="I3047" s="12"/>
      <c r="N3047" s="12"/>
      <c r="S3047" s="12"/>
      <c r="X3047" s="12"/>
      <c r="AM3047" s="12"/>
    </row>
    <row r="3048" spans="9:39" x14ac:dyDescent="0.3">
      <c r="I3048" s="12"/>
      <c r="N3048" s="12"/>
      <c r="S3048" s="12"/>
      <c r="X3048" s="12"/>
      <c r="AM3048" s="12"/>
    </row>
    <row r="3049" spans="9:39" x14ac:dyDescent="0.3">
      <c r="I3049" s="12"/>
      <c r="N3049" s="12"/>
      <c r="S3049" s="12"/>
      <c r="X3049" s="12"/>
      <c r="AM3049" s="12"/>
    </row>
    <row r="3050" spans="9:39" x14ac:dyDescent="0.3">
      <c r="I3050" s="12"/>
      <c r="N3050" s="12"/>
      <c r="S3050" s="12"/>
      <c r="X3050" s="12"/>
      <c r="AM3050" s="12"/>
    </row>
    <row r="3051" spans="9:39" x14ac:dyDescent="0.3">
      <c r="I3051" s="12"/>
      <c r="N3051" s="12"/>
      <c r="S3051" s="12"/>
      <c r="X3051" s="12"/>
      <c r="AM3051" s="12"/>
    </row>
    <row r="3052" spans="9:39" x14ac:dyDescent="0.3">
      <c r="I3052" s="12"/>
      <c r="N3052" s="12"/>
      <c r="S3052" s="12"/>
      <c r="X3052" s="12"/>
      <c r="AM3052" s="12"/>
    </row>
    <row r="3053" spans="9:39" x14ac:dyDescent="0.3">
      <c r="I3053" s="12"/>
      <c r="N3053" s="12"/>
      <c r="S3053" s="12"/>
      <c r="X3053" s="12"/>
      <c r="AM3053" s="12"/>
    </row>
    <row r="3054" spans="9:39" x14ac:dyDescent="0.3">
      <c r="I3054" s="12"/>
      <c r="N3054" s="12"/>
      <c r="S3054" s="12"/>
      <c r="X3054" s="12"/>
      <c r="AM3054" s="12"/>
    </row>
    <row r="3055" spans="9:39" x14ac:dyDescent="0.3">
      <c r="I3055" s="12"/>
      <c r="N3055" s="12"/>
      <c r="S3055" s="12"/>
      <c r="X3055" s="12"/>
      <c r="AM3055" s="12"/>
    </row>
    <row r="3056" spans="9:39" x14ac:dyDescent="0.3">
      <c r="I3056" s="12"/>
      <c r="N3056" s="12"/>
      <c r="S3056" s="12"/>
      <c r="X3056" s="12"/>
      <c r="AM3056" s="12"/>
    </row>
    <row r="3057" spans="9:39" x14ac:dyDescent="0.3">
      <c r="I3057" s="12"/>
      <c r="N3057" s="12"/>
      <c r="S3057" s="12"/>
      <c r="X3057" s="12"/>
      <c r="AM3057" s="12"/>
    </row>
    <row r="3058" spans="9:39" x14ac:dyDescent="0.3">
      <c r="I3058" s="12"/>
      <c r="N3058" s="12"/>
      <c r="S3058" s="12"/>
      <c r="X3058" s="12"/>
      <c r="AM3058" s="12"/>
    </row>
    <row r="3059" spans="9:39" x14ac:dyDescent="0.3">
      <c r="I3059" s="12"/>
      <c r="N3059" s="12"/>
      <c r="S3059" s="12"/>
      <c r="X3059" s="12"/>
      <c r="AM3059" s="12"/>
    </row>
    <row r="3060" spans="9:39" x14ac:dyDescent="0.3">
      <c r="I3060" s="12"/>
      <c r="N3060" s="12"/>
      <c r="S3060" s="12"/>
      <c r="X3060" s="12"/>
      <c r="AM3060" s="12"/>
    </row>
    <row r="3061" spans="9:39" x14ac:dyDescent="0.3">
      <c r="I3061" s="12"/>
      <c r="N3061" s="12"/>
      <c r="S3061" s="12"/>
      <c r="X3061" s="12"/>
      <c r="AM3061" s="12"/>
    </row>
    <row r="3062" spans="9:39" x14ac:dyDescent="0.3">
      <c r="I3062" s="12"/>
      <c r="N3062" s="12"/>
      <c r="S3062" s="12"/>
      <c r="X3062" s="12"/>
      <c r="AM3062" s="12"/>
    </row>
    <row r="3063" spans="9:39" x14ac:dyDescent="0.3">
      <c r="I3063" s="12"/>
      <c r="N3063" s="12"/>
      <c r="S3063" s="12"/>
      <c r="X3063" s="12"/>
      <c r="AM3063" s="12"/>
    </row>
    <row r="3064" spans="9:39" x14ac:dyDescent="0.3">
      <c r="I3064" s="12"/>
      <c r="N3064" s="12"/>
      <c r="S3064" s="12"/>
      <c r="X3064" s="12"/>
      <c r="AM3064" s="12"/>
    </row>
    <row r="3065" spans="9:39" x14ac:dyDescent="0.3">
      <c r="I3065" s="12"/>
      <c r="N3065" s="12"/>
      <c r="S3065" s="12"/>
      <c r="X3065" s="12"/>
      <c r="AM3065" s="12"/>
    </row>
    <row r="3066" spans="9:39" x14ac:dyDescent="0.3">
      <c r="I3066" s="12"/>
      <c r="N3066" s="12"/>
      <c r="S3066" s="12"/>
      <c r="X3066" s="12"/>
      <c r="AM3066" s="12"/>
    </row>
    <row r="3067" spans="9:39" x14ac:dyDescent="0.3">
      <c r="I3067" s="12"/>
      <c r="N3067" s="12"/>
      <c r="S3067" s="12"/>
      <c r="X3067" s="12"/>
      <c r="AM3067" s="12"/>
    </row>
    <row r="3068" spans="9:39" x14ac:dyDescent="0.3">
      <c r="I3068" s="12"/>
      <c r="N3068" s="12"/>
      <c r="S3068" s="12"/>
      <c r="X3068" s="12"/>
      <c r="AM3068" s="12"/>
    </row>
    <row r="3069" spans="9:39" x14ac:dyDescent="0.3">
      <c r="I3069" s="12"/>
      <c r="N3069" s="12"/>
      <c r="S3069" s="12"/>
      <c r="X3069" s="12"/>
      <c r="AM3069" s="12"/>
    </row>
    <row r="3070" spans="9:39" x14ac:dyDescent="0.3">
      <c r="I3070" s="12"/>
      <c r="N3070" s="12"/>
      <c r="S3070" s="12"/>
      <c r="X3070" s="12"/>
      <c r="AM3070" s="12"/>
    </row>
    <row r="3071" spans="9:39" x14ac:dyDescent="0.3">
      <c r="I3071" s="12"/>
      <c r="N3071" s="12"/>
      <c r="S3071" s="12"/>
      <c r="X3071" s="12"/>
      <c r="AM3071" s="12"/>
    </row>
    <row r="3072" spans="9:39" x14ac:dyDescent="0.3">
      <c r="I3072" s="12"/>
      <c r="N3072" s="12"/>
      <c r="S3072" s="12"/>
      <c r="X3072" s="12"/>
      <c r="AM3072" s="12"/>
    </row>
    <row r="3073" spans="9:39" x14ac:dyDescent="0.3">
      <c r="I3073" s="12"/>
      <c r="N3073" s="12"/>
      <c r="S3073" s="12"/>
      <c r="X3073" s="12"/>
      <c r="AM3073" s="12"/>
    </row>
    <row r="3074" spans="9:39" x14ac:dyDescent="0.3">
      <c r="I3074" s="12"/>
      <c r="N3074" s="12"/>
      <c r="S3074" s="12"/>
      <c r="X3074" s="12"/>
      <c r="AM3074" s="12"/>
    </row>
    <row r="3075" spans="9:39" x14ac:dyDescent="0.3">
      <c r="I3075" s="12"/>
      <c r="N3075" s="12"/>
      <c r="S3075" s="12"/>
      <c r="X3075" s="12"/>
      <c r="AM3075" s="12"/>
    </row>
    <row r="3076" spans="9:39" x14ac:dyDescent="0.3">
      <c r="I3076" s="12"/>
      <c r="N3076" s="12"/>
      <c r="S3076" s="12"/>
      <c r="X3076" s="12"/>
      <c r="AM3076" s="12"/>
    </row>
    <row r="3077" spans="9:39" x14ac:dyDescent="0.3">
      <c r="I3077" s="12"/>
      <c r="N3077" s="12"/>
      <c r="S3077" s="12"/>
      <c r="X3077" s="12"/>
      <c r="AM3077" s="12"/>
    </row>
    <row r="3078" spans="9:39" x14ac:dyDescent="0.3">
      <c r="I3078" s="12"/>
      <c r="N3078" s="12"/>
      <c r="S3078" s="12"/>
      <c r="X3078" s="12"/>
      <c r="AM3078" s="12"/>
    </row>
    <row r="3079" spans="9:39" x14ac:dyDescent="0.3">
      <c r="I3079" s="12"/>
      <c r="N3079" s="12"/>
      <c r="S3079" s="12"/>
      <c r="X3079" s="12"/>
      <c r="AM3079" s="12"/>
    </row>
    <row r="3080" spans="9:39" x14ac:dyDescent="0.3">
      <c r="I3080" s="12"/>
      <c r="N3080" s="12"/>
      <c r="S3080" s="12"/>
      <c r="X3080" s="12"/>
      <c r="AM3080" s="12"/>
    </row>
    <row r="3081" spans="9:39" x14ac:dyDescent="0.3">
      <c r="I3081" s="12"/>
      <c r="N3081" s="12"/>
      <c r="S3081" s="12"/>
      <c r="X3081" s="12"/>
      <c r="AM3081" s="12"/>
    </row>
    <row r="3082" spans="9:39" x14ac:dyDescent="0.3">
      <c r="I3082" s="12"/>
      <c r="N3082" s="12"/>
      <c r="S3082" s="12"/>
      <c r="X3082" s="12"/>
      <c r="AM3082" s="12"/>
    </row>
    <row r="3083" spans="9:39" x14ac:dyDescent="0.3">
      <c r="I3083" s="12"/>
      <c r="N3083" s="12"/>
      <c r="S3083" s="12"/>
      <c r="X3083" s="12"/>
      <c r="AM3083" s="12"/>
    </row>
    <row r="3084" spans="9:39" x14ac:dyDescent="0.3">
      <c r="I3084" s="12"/>
      <c r="N3084" s="12"/>
      <c r="S3084" s="12"/>
      <c r="X3084" s="12"/>
      <c r="AM3084" s="12"/>
    </row>
    <row r="3085" spans="9:39" x14ac:dyDescent="0.3">
      <c r="I3085" s="12"/>
      <c r="N3085" s="12"/>
      <c r="S3085" s="12"/>
      <c r="X3085" s="12"/>
      <c r="AM3085" s="12"/>
    </row>
    <row r="3086" spans="9:39" x14ac:dyDescent="0.3">
      <c r="I3086" s="12"/>
      <c r="N3086" s="12"/>
      <c r="S3086" s="12"/>
      <c r="X3086" s="12"/>
      <c r="AM3086" s="12"/>
    </row>
    <row r="3087" spans="9:39" x14ac:dyDescent="0.3">
      <c r="I3087" s="12"/>
      <c r="N3087" s="12"/>
      <c r="S3087" s="12"/>
      <c r="X3087" s="12"/>
      <c r="AM3087" s="12"/>
    </row>
    <row r="3088" spans="9:39" x14ac:dyDescent="0.3">
      <c r="I3088" s="12"/>
      <c r="N3088" s="12"/>
      <c r="S3088" s="12"/>
      <c r="X3088" s="12"/>
      <c r="AM3088" s="12"/>
    </row>
    <row r="3089" spans="9:39" x14ac:dyDescent="0.3">
      <c r="I3089" s="12"/>
      <c r="N3089" s="12"/>
      <c r="S3089" s="12"/>
      <c r="X3089" s="12"/>
      <c r="AM3089" s="12"/>
    </row>
    <row r="3090" spans="9:39" x14ac:dyDescent="0.3">
      <c r="I3090" s="12"/>
      <c r="N3090" s="12"/>
      <c r="S3090" s="12"/>
      <c r="X3090" s="12"/>
      <c r="AM3090" s="12"/>
    </row>
    <row r="3091" spans="9:39" x14ac:dyDescent="0.3">
      <c r="I3091" s="12"/>
      <c r="N3091" s="12"/>
      <c r="S3091" s="12"/>
      <c r="X3091" s="12"/>
      <c r="AM3091" s="12"/>
    </row>
    <row r="3092" spans="9:39" x14ac:dyDescent="0.3">
      <c r="I3092" s="12"/>
      <c r="N3092" s="12"/>
      <c r="S3092" s="12"/>
      <c r="X3092" s="12"/>
      <c r="AM3092" s="12"/>
    </row>
    <row r="3093" spans="9:39" x14ac:dyDescent="0.3">
      <c r="I3093" s="12"/>
      <c r="N3093" s="12"/>
      <c r="S3093" s="12"/>
      <c r="X3093" s="12"/>
      <c r="AM3093" s="12"/>
    </row>
    <row r="3094" spans="9:39" x14ac:dyDescent="0.3">
      <c r="I3094" s="12"/>
      <c r="N3094" s="12"/>
      <c r="S3094" s="12"/>
      <c r="X3094" s="12"/>
      <c r="AM3094" s="12"/>
    </row>
    <row r="3095" spans="9:39" x14ac:dyDescent="0.3">
      <c r="I3095" s="12"/>
      <c r="N3095" s="12"/>
      <c r="S3095" s="12"/>
      <c r="X3095" s="12"/>
      <c r="AM3095" s="12"/>
    </row>
    <row r="3096" spans="9:39" x14ac:dyDescent="0.3">
      <c r="I3096" s="12"/>
      <c r="N3096" s="12"/>
      <c r="S3096" s="12"/>
      <c r="X3096" s="12"/>
      <c r="AM3096" s="12"/>
    </row>
    <row r="3097" spans="9:39" x14ac:dyDescent="0.3">
      <c r="I3097" s="12"/>
      <c r="N3097" s="12"/>
      <c r="S3097" s="12"/>
      <c r="X3097" s="12"/>
      <c r="AM3097" s="12"/>
    </row>
    <row r="3098" spans="9:39" x14ac:dyDescent="0.3">
      <c r="I3098" s="12"/>
      <c r="N3098" s="12"/>
      <c r="S3098" s="12"/>
      <c r="X3098" s="12"/>
      <c r="AM3098" s="12"/>
    </row>
    <row r="3099" spans="9:39" x14ac:dyDescent="0.3">
      <c r="I3099" s="12"/>
      <c r="N3099" s="12"/>
      <c r="S3099" s="12"/>
      <c r="X3099" s="12"/>
      <c r="AM3099" s="12"/>
    </row>
    <row r="3100" spans="9:39" x14ac:dyDescent="0.3">
      <c r="I3100" s="12"/>
      <c r="N3100" s="12"/>
      <c r="S3100" s="12"/>
      <c r="X3100" s="12"/>
      <c r="AM3100" s="12"/>
    </row>
    <row r="3101" spans="9:39" x14ac:dyDescent="0.3">
      <c r="I3101" s="12"/>
      <c r="N3101" s="12"/>
      <c r="S3101" s="12"/>
      <c r="X3101" s="12"/>
      <c r="AM3101" s="12"/>
    </row>
    <row r="3102" spans="9:39" x14ac:dyDescent="0.3">
      <c r="I3102" s="12"/>
      <c r="N3102" s="12"/>
      <c r="S3102" s="12"/>
      <c r="X3102" s="12"/>
      <c r="AM3102" s="12"/>
    </row>
    <row r="3103" spans="9:39" x14ac:dyDescent="0.3">
      <c r="I3103" s="12"/>
      <c r="N3103" s="12"/>
      <c r="S3103" s="12"/>
      <c r="X3103" s="12"/>
      <c r="AM3103" s="12"/>
    </row>
    <row r="3104" spans="9:39" x14ac:dyDescent="0.3">
      <c r="I3104" s="12"/>
      <c r="N3104" s="12"/>
      <c r="S3104" s="12"/>
      <c r="X3104" s="12"/>
      <c r="AM3104" s="12"/>
    </row>
    <row r="3105" spans="9:39" x14ac:dyDescent="0.3">
      <c r="I3105" s="12"/>
      <c r="N3105" s="12"/>
      <c r="S3105" s="12"/>
      <c r="X3105" s="12"/>
      <c r="AM3105" s="12"/>
    </row>
    <row r="3106" spans="9:39" x14ac:dyDescent="0.3">
      <c r="I3106" s="12"/>
      <c r="N3106" s="12"/>
      <c r="S3106" s="12"/>
      <c r="X3106" s="12"/>
      <c r="AM3106" s="12"/>
    </row>
    <row r="3107" spans="9:39" x14ac:dyDescent="0.3">
      <c r="I3107" s="12"/>
      <c r="N3107" s="12"/>
      <c r="S3107" s="12"/>
      <c r="X3107" s="12"/>
      <c r="AM3107" s="12"/>
    </row>
    <row r="3108" spans="9:39" x14ac:dyDescent="0.3">
      <c r="I3108" s="12"/>
      <c r="N3108" s="12"/>
      <c r="S3108" s="12"/>
      <c r="X3108" s="12"/>
      <c r="AM3108" s="12"/>
    </row>
    <row r="3109" spans="9:39" x14ac:dyDescent="0.3">
      <c r="I3109" s="12"/>
      <c r="N3109" s="12"/>
      <c r="S3109" s="12"/>
      <c r="X3109" s="12"/>
      <c r="AM3109" s="12"/>
    </row>
    <row r="3110" spans="9:39" x14ac:dyDescent="0.3">
      <c r="I3110" s="12"/>
      <c r="N3110" s="12"/>
      <c r="S3110" s="12"/>
      <c r="X3110" s="12"/>
      <c r="AM3110" s="12"/>
    </row>
    <row r="3111" spans="9:39" x14ac:dyDescent="0.3">
      <c r="I3111" s="12"/>
      <c r="N3111" s="12"/>
      <c r="S3111" s="12"/>
      <c r="X3111" s="12"/>
      <c r="AM3111" s="12"/>
    </row>
    <row r="3112" spans="9:39" x14ac:dyDescent="0.3">
      <c r="I3112" s="12"/>
      <c r="N3112" s="12"/>
      <c r="S3112" s="12"/>
      <c r="X3112" s="12"/>
      <c r="AM3112" s="12"/>
    </row>
    <row r="3113" spans="9:39" x14ac:dyDescent="0.3">
      <c r="I3113" s="12"/>
      <c r="N3113" s="12"/>
      <c r="S3113" s="12"/>
      <c r="X3113" s="12"/>
      <c r="AM3113" s="12"/>
    </row>
    <row r="3114" spans="9:39" x14ac:dyDescent="0.3">
      <c r="I3114" s="12"/>
      <c r="N3114" s="12"/>
      <c r="S3114" s="12"/>
      <c r="X3114" s="12"/>
      <c r="AM3114" s="12"/>
    </row>
    <row r="3115" spans="9:39" x14ac:dyDescent="0.3">
      <c r="I3115" s="12"/>
      <c r="N3115" s="12"/>
      <c r="S3115" s="12"/>
      <c r="X3115" s="12"/>
      <c r="AM3115" s="12"/>
    </row>
    <row r="3116" spans="9:39" x14ac:dyDescent="0.3">
      <c r="I3116" s="12"/>
      <c r="N3116" s="12"/>
      <c r="S3116" s="12"/>
      <c r="X3116" s="12"/>
      <c r="AM3116" s="12"/>
    </row>
    <row r="3117" spans="9:39" x14ac:dyDescent="0.3">
      <c r="I3117" s="12"/>
      <c r="N3117" s="12"/>
      <c r="S3117" s="12"/>
      <c r="X3117" s="12"/>
      <c r="AM3117" s="12"/>
    </row>
    <row r="3118" spans="9:39" x14ac:dyDescent="0.3">
      <c r="I3118" s="12"/>
      <c r="N3118" s="12"/>
      <c r="S3118" s="12"/>
      <c r="X3118" s="12"/>
      <c r="AM3118" s="12"/>
    </row>
    <row r="3119" spans="9:39" x14ac:dyDescent="0.3">
      <c r="I3119" s="12"/>
      <c r="N3119" s="12"/>
      <c r="S3119" s="12"/>
      <c r="X3119" s="12"/>
      <c r="AM3119" s="12"/>
    </row>
    <row r="3120" spans="9:39" x14ac:dyDescent="0.3">
      <c r="I3120" s="12"/>
      <c r="N3120" s="12"/>
      <c r="S3120" s="12"/>
      <c r="X3120" s="12"/>
      <c r="AM3120" s="12"/>
    </row>
    <row r="3121" spans="9:39" x14ac:dyDescent="0.3">
      <c r="I3121" s="12"/>
      <c r="N3121" s="12"/>
      <c r="S3121" s="12"/>
      <c r="X3121" s="12"/>
      <c r="AM3121" s="12"/>
    </row>
    <row r="3122" spans="9:39" x14ac:dyDescent="0.3">
      <c r="I3122" s="12"/>
      <c r="N3122" s="12"/>
      <c r="S3122" s="12"/>
      <c r="X3122" s="12"/>
      <c r="AM3122" s="12"/>
    </row>
    <row r="3123" spans="9:39" x14ac:dyDescent="0.3">
      <c r="I3123" s="12"/>
      <c r="N3123" s="12"/>
      <c r="S3123" s="12"/>
      <c r="X3123" s="12"/>
      <c r="AM3123" s="12"/>
    </row>
    <row r="3124" spans="9:39" x14ac:dyDescent="0.3">
      <c r="I3124" s="12"/>
      <c r="N3124" s="12"/>
      <c r="S3124" s="12"/>
      <c r="X3124" s="12"/>
      <c r="AM3124" s="12"/>
    </row>
    <row r="3125" spans="9:39" x14ac:dyDescent="0.3">
      <c r="I3125" s="12"/>
      <c r="N3125" s="12"/>
      <c r="S3125" s="12"/>
      <c r="X3125" s="12"/>
      <c r="AM3125" s="12"/>
    </row>
    <row r="3126" spans="9:39" x14ac:dyDescent="0.3">
      <c r="I3126" s="12"/>
      <c r="N3126" s="12"/>
      <c r="S3126" s="12"/>
      <c r="X3126" s="12"/>
      <c r="AM3126" s="12"/>
    </row>
    <row r="3127" spans="9:39" x14ac:dyDescent="0.3">
      <c r="I3127" s="12"/>
      <c r="N3127" s="12"/>
      <c r="S3127" s="12"/>
      <c r="X3127" s="12"/>
      <c r="AM3127" s="12"/>
    </row>
    <row r="3128" spans="9:39" x14ac:dyDescent="0.3">
      <c r="I3128" s="12"/>
      <c r="N3128" s="12"/>
      <c r="S3128" s="12"/>
      <c r="X3128" s="12"/>
      <c r="AM3128" s="12"/>
    </row>
    <row r="3129" spans="9:39" x14ac:dyDescent="0.3">
      <c r="I3129" s="12"/>
      <c r="N3129" s="12"/>
      <c r="S3129" s="12"/>
      <c r="X3129" s="12"/>
      <c r="AM3129" s="12"/>
    </row>
    <row r="3130" spans="9:39" x14ac:dyDescent="0.3">
      <c r="I3130" s="12"/>
      <c r="N3130" s="12"/>
      <c r="S3130" s="12"/>
      <c r="X3130" s="12"/>
      <c r="AM3130" s="12"/>
    </row>
    <row r="3131" spans="9:39" x14ac:dyDescent="0.3">
      <c r="I3131" s="12"/>
      <c r="N3131" s="12"/>
      <c r="S3131" s="12"/>
      <c r="X3131" s="12"/>
      <c r="AM3131" s="12"/>
    </row>
    <row r="3132" spans="9:39" x14ac:dyDescent="0.3">
      <c r="I3132" s="12"/>
      <c r="N3132" s="12"/>
      <c r="S3132" s="12"/>
      <c r="X3132" s="12"/>
      <c r="AM3132" s="12"/>
    </row>
    <row r="3133" spans="9:39" x14ac:dyDescent="0.3">
      <c r="I3133" s="12"/>
      <c r="N3133" s="12"/>
      <c r="S3133" s="12"/>
      <c r="X3133" s="12"/>
      <c r="AM3133" s="12"/>
    </row>
    <row r="3134" spans="9:39" x14ac:dyDescent="0.3">
      <c r="I3134" s="12"/>
      <c r="N3134" s="12"/>
      <c r="S3134" s="12"/>
      <c r="X3134" s="12"/>
      <c r="AM3134" s="12"/>
    </row>
    <row r="3135" spans="9:39" x14ac:dyDescent="0.3">
      <c r="I3135" s="12"/>
      <c r="N3135" s="12"/>
      <c r="S3135" s="12"/>
      <c r="X3135" s="12"/>
      <c r="AM3135" s="12"/>
    </row>
    <row r="3136" spans="9:39" x14ac:dyDescent="0.3">
      <c r="I3136" s="12"/>
      <c r="N3136" s="12"/>
      <c r="S3136" s="12"/>
      <c r="X3136" s="12"/>
      <c r="AM3136" s="12"/>
    </row>
    <row r="3137" spans="9:39" x14ac:dyDescent="0.3">
      <c r="I3137" s="12"/>
      <c r="N3137" s="12"/>
      <c r="S3137" s="12"/>
      <c r="X3137" s="12"/>
      <c r="AM3137" s="12"/>
    </row>
    <row r="3138" spans="9:39" x14ac:dyDescent="0.3">
      <c r="I3138" s="12"/>
      <c r="N3138" s="12"/>
      <c r="S3138" s="12"/>
      <c r="X3138" s="12"/>
      <c r="AM3138" s="12"/>
    </row>
    <row r="3139" spans="9:39" x14ac:dyDescent="0.3">
      <c r="I3139" s="12"/>
      <c r="N3139" s="12"/>
      <c r="S3139" s="12"/>
      <c r="X3139" s="12"/>
      <c r="AM3139" s="12"/>
    </row>
    <row r="3140" spans="9:39" x14ac:dyDescent="0.3">
      <c r="I3140" s="12"/>
      <c r="N3140" s="12"/>
      <c r="S3140" s="12"/>
      <c r="X3140" s="12"/>
      <c r="AM3140" s="12"/>
    </row>
    <row r="3141" spans="9:39" x14ac:dyDescent="0.3">
      <c r="I3141" s="12"/>
      <c r="N3141" s="12"/>
      <c r="S3141" s="12"/>
      <c r="X3141" s="12"/>
      <c r="AM3141" s="12"/>
    </row>
    <row r="3142" spans="9:39" x14ac:dyDescent="0.3">
      <c r="I3142" s="12"/>
      <c r="N3142" s="12"/>
      <c r="S3142" s="12"/>
      <c r="X3142" s="12"/>
      <c r="AM3142" s="12"/>
    </row>
    <row r="3143" spans="9:39" x14ac:dyDescent="0.3">
      <c r="I3143" s="12"/>
      <c r="N3143" s="12"/>
      <c r="S3143" s="12"/>
      <c r="X3143" s="12"/>
      <c r="AM3143" s="12"/>
    </row>
    <row r="3144" spans="9:39" x14ac:dyDescent="0.3">
      <c r="I3144" s="12"/>
      <c r="N3144" s="12"/>
      <c r="S3144" s="12"/>
      <c r="X3144" s="12"/>
      <c r="AM3144" s="12"/>
    </row>
    <row r="3145" spans="9:39" x14ac:dyDescent="0.3">
      <c r="I3145" s="12"/>
      <c r="N3145" s="12"/>
      <c r="S3145" s="12"/>
      <c r="X3145" s="12"/>
      <c r="AM3145" s="12"/>
    </row>
    <row r="3146" spans="9:39" x14ac:dyDescent="0.3">
      <c r="I3146" s="12"/>
      <c r="N3146" s="12"/>
      <c r="S3146" s="12"/>
      <c r="X3146" s="12"/>
      <c r="AM3146" s="12"/>
    </row>
    <row r="3147" spans="9:39" x14ac:dyDescent="0.3">
      <c r="I3147" s="12"/>
      <c r="N3147" s="12"/>
      <c r="S3147" s="12"/>
      <c r="X3147" s="12"/>
      <c r="AM3147" s="12"/>
    </row>
    <row r="3148" spans="9:39" x14ac:dyDescent="0.3">
      <c r="I3148" s="12"/>
      <c r="N3148" s="12"/>
      <c r="S3148" s="12"/>
      <c r="X3148" s="12"/>
      <c r="AM3148" s="12"/>
    </row>
    <row r="3149" spans="9:39" x14ac:dyDescent="0.3">
      <c r="I3149" s="12"/>
      <c r="N3149" s="12"/>
      <c r="S3149" s="12"/>
      <c r="X3149" s="12"/>
      <c r="AM3149" s="12"/>
    </row>
    <row r="3150" spans="9:39" x14ac:dyDescent="0.3">
      <c r="I3150" s="12"/>
      <c r="N3150" s="12"/>
      <c r="S3150" s="12"/>
      <c r="X3150" s="12"/>
      <c r="AM3150" s="12"/>
    </row>
    <row r="3151" spans="9:39" x14ac:dyDescent="0.3">
      <c r="I3151" s="12"/>
      <c r="N3151" s="12"/>
      <c r="S3151" s="12"/>
      <c r="X3151" s="12"/>
      <c r="AM3151" s="12"/>
    </row>
    <row r="3152" spans="9:39" x14ac:dyDescent="0.3">
      <c r="I3152" s="12"/>
      <c r="N3152" s="12"/>
      <c r="S3152" s="12"/>
      <c r="X3152" s="12"/>
      <c r="AM3152" s="12"/>
    </row>
    <row r="3153" spans="9:39" x14ac:dyDescent="0.3">
      <c r="I3153" s="12"/>
      <c r="N3153" s="12"/>
      <c r="S3153" s="12"/>
      <c r="X3153" s="12"/>
      <c r="AM3153" s="12"/>
    </row>
    <row r="3154" spans="9:39" x14ac:dyDescent="0.3">
      <c r="I3154" s="12"/>
      <c r="N3154" s="12"/>
      <c r="S3154" s="12"/>
      <c r="X3154" s="12"/>
      <c r="AM3154" s="12"/>
    </row>
    <row r="3155" spans="9:39" x14ac:dyDescent="0.3">
      <c r="I3155" s="12"/>
      <c r="N3155" s="12"/>
      <c r="S3155" s="12"/>
      <c r="X3155" s="12"/>
      <c r="AM3155" s="12"/>
    </row>
    <row r="3156" spans="9:39" x14ac:dyDescent="0.3">
      <c r="I3156" s="12"/>
      <c r="N3156" s="12"/>
      <c r="S3156" s="12"/>
      <c r="X3156" s="12"/>
      <c r="AM3156" s="12"/>
    </row>
    <row r="3157" spans="9:39" x14ac:dyDescent="0.3">
      <c r="I3157" s="12"/>
      <c r="N3157" s="12"/>
      <c r="S3157" s="12"/>
      <c r="X3157" s="12"/>
      <c r="AM3157" s="12"/>
    </row>
    <row r="3158" spans="9:39" x14ac:dyDescent="0.3">
      <c r="I3158" s="12"/>
      <c r="N3158" s="12"/>
      <c r="S3158" s="12"/>
      <c r="X3158" s="12"/>
      <c r="AM3158" s="12"/>
    </row>
    <row r="3159" spans="9:39" x14ac:dyDescent="0.3">
      <c r="I3159" s="12"/>
      <c r="N3159" s="12"/>
      <c r="S3159" s="12"/>
      <c r="X3159" s="12"/>
      <c r="AM3159" s="12"/>
    </row>
    <row r="3160" spans="9:39" x14ac:dyDescent="0.3">
      <c r="I3160" s="12"/>
      <c r="N3160" s="12"/>
      <c r="S3160" s="12"/>
      <c r="X3160" s="12"/>
      <c r="AM3160" s="12"/>
    </row>
    <row r="3161" spans="9:39" x14ac:dyDescent="0.3">
      <c r="I3161" s="12"/>
      <c r="N3161" s="12"/>
      <c r="S3161" s="12"/>
      <c r="X3161" s="12"/>
      <c r="AM3161" s="12"/>
    </row>
    <row r="3162" spans="9:39" x14ac:dyDescent="0.3">
      <c r="I3162" s="12"/>
      <c r="N3162" s="12"/>
      <c r="S3162" s="12"/>
      <c r="X3162" s="12"/>
      <c r="AM3162" s="12"/>
    </row>
    <row r="3163" spans="9:39" x14ac:dyDescent="0.3">
      <c r="I3163" s="12"/>
      <c r="N3163" s="12"/>
      <c r="S3163" s="12"/>
      <c r="X3163" s="12"/>
      <c r="AM3163" s="12"/>
    </row>
    <row r="3164" spans="9:39" x14ac:dyDescent="0.3">
      <c r="I3164" s="12"/>
      <c r="N3164" s="12"/>
      <c r="S3164" s="12"/>
      <c r="X3164" s="12"/>
      <c r="AM3164" s="12"/>
    </row>
    <row r="3165" spans="9:39" x14ac:dyDescent="0.3">
      <c r="I3165" s="12"/>
      <c r="N3165" s="12"/>
      <c r="S3165" s="12"/>
      <c r="X3165" s="12"/>
      <c r="AM3165" s="12"/>
    </row>
    <row r="3166" spans="9:39" x14ac:dyDescent="0.3">
      <c r="I3166" s="12"/>
      <c r="N3166" s="12"/>
      <c r="S3166" s="12"/>
      <c r="X3166" s="12"/>
      <c r="AM3166" s="12"/>
    </row>
    <row r="3167" spans="9:39" x14ac:dyDescent="0.3">
      <c r="I3167" s="12"/>
      <c r="N3167" s="12"/>
      <c r="S3167" s="12"/>
      <c r="X3167" s="12"/>
      <c r="AM3167" s="12"/>
    </row>
    <row r="3168" spans="9:39" x14ac:dyDescent="0.3">
      <c r="I3168" s="12"/>
      <c r="N3168" s="12"/>
      <c r="S3168" s="12"/>
      <c r="X3168" s="12"/>
      <c r="AM3168" s="12"/>
    </row>
    <row r="3169" spans="9:39" x14ac:dyDescent="0.3">
      <c r="I3169" s="12"/>
      <c r="N3169" s="12"/>
      <c r="S3169" s="12"/>
      <c r="X3169" s="12"/>
      <c r="AM3169" s="12"/>
    </row>
    <row r="3170" spans="9:39" x14ac:dyDescent="0.3">
      <c r="I3170" s="12"/>
      <c r="N3170" s="12"/>
      <c r="S3170" s="12"/>
      <c r="X3170" s="12"/>
      <c r="AM3170" s="12"/>
    </row>
    <row r="3171" spans="9:39" x14ac:dyDescent="0.3">
      <c r="I3171" s="12"/>
      <c r="N3171" s="12"/>
      <c r="S3171" s="12"/>
      <c r="X3171" s="12"/>
      <c r="AM3171" s="12"/>
    </row>
    <row r="3172" spans="9:39" x14ac:dyDescent="0.3">
      <c r="I3172" s="12"/>
      <c r="N3172" s="12"/>
      <c r="S3172" s="12"/>
      <c r="X3172" s="12"/>
      <c r="AM3172" s="12"/>
    </row>
    <row r="3173" spans="9:39" x14ac:dyDescent="0.3">
      <c r="I3173" s="12"/>
      <c r="N3173" s="12"/>
      <c r="S3173" s="12"/>
      <c r="X3173" s="12"/>
      <c r="AM3173" s="12"/>
    </row>
    <row r="3174" spans="9:39" x14ac:dyDescent="0.3">
      <c r="I3174" s="12"/>
      <c r="N3174" s="12"/>
      <c r="S3174" s="12"/>
      <c r="X3174" s="12"/>
      <c r="AM3174" s="12"/>
    </row>
    <row r="3175" spans="9:39" x14ac:dyDescent="0.3">
      <c r="I3175" s="12"/>
      <c r="N3175" s="12"/>
      <c r="S3175" s="12"/>
      <c r="X3175" s="12"/>
      <c r="AM3175" s="12"/>
    </row>
    <row r="3176" spans="9:39" x14ac:dyDescent="0.3">
      <c r="I3176" s="12"/>
      <c r="N3176" s="12"/>
      <c r="S3176" s="12"/>
      <c r="X3176" s="12"/>
      <c r="AM3176" s="12"/>
    </row>
    <row r="3177" spans="9:39" x14ac:dyDescent="0.3">
      <c r="I3177" s="12"/>
      <c r="N3177" s="12"/>
      <c r="S3177" s="12"/>
      <c r="X3177" s="12"/>
      <c r="AM3177" s="12"/>
    </row>
    <row r="3178" spans="9:39" x14ac:dyDescent="0.3">
      <c r="I3178" s="12"/>
      <c r="N3178" s="12"/>
      <c r="S3178" s="12"/>
      <c r="X3178" s="12"/>
      <c r="AM3178" s="12"/>
    </row>
    <row r="3179" spans="9:39" x14ac:dyDescent="0.3">
      <c r="I3179" s="12"/>
      <c r="N3179" s="12"/>
      <c r="S3179" s="12"/>
      <c r="X3179" s="12"/>
      <c r="AM3179" s="12"/>
    </row>
    <row r="3180" spans="9:39" x14ac:dyDescent="0.3">
      <c r="I3180" s="12"/>
      <c r="N3180" s="12"/>
      <c r="S3180" s="12"/>
      <c r="X3180" s="12"/>
      <c r="AM3180" s="12"/>
    </row>
    <row r="3181" spans="9:39" x14ac:dyDescent="0.3">
      <c r="I3181" s="12"/>
      <c r="N3181" s="12"/>
      <c r="S3181" s="12"/>
      <c r="X3181" s="12"/>
      <c r="AM3181" s="12"/>
    </row>
    <row r="3182" spans="9:39" x14ac:dyDescent="0.3">
      <c r="I3182" s="12"/>
      <c r="N3182" s="12"/>
      <c r="S3182" s="12"/>
      <c r="X3182" s="12"/>
      <c r="AM3182" s="12"/>
    </row>
    <row r="3183" spans="9:39" x14ac:dyDescent="0.3">
      <c r="I3183" s="12"/>
      <c r="N3183" s="12"/>
      <c r="S3183" s="12"/>
      <c r="X3183" s="12"/>
      <c r="AM3183" s="12"/>
    </row>
    <row r="3184" spans="9:39" x14ac:dyDescent="0.3">
      <c r="I3184" s="12"/>
      <c r="N3184" s="12"/>
      <c r="S3184" s="12"/>
      <c r="X3184" s="12"/>
      <c r="AM3184" s="12"/>
    </row>
    <row r="3185" spans="9:39" x14ac:dyDescent="0.3">
      <c r="I3185" s="12"/>
      <c r="N3185" s="12"/>
      <c r="S3185" s="12"/>
      <c r="X3185" s="12"/>
      <c r="AM3185" s="12"/>
    </row>
    <row r="3186" spans="9:39" x14ac:dyDescent="0.3">
      <c r="I3186" s="12"/>
      <c r="N3186" s="12"/>
      <c r="S3186" s="12"/>
      <c r="X3186" s="12"/>
      <c r="AM3186" s="12"/>
    </row>
    <row r="3187" spans="9:39" x14ac:dyDescent="0.3">
      <c r="I3187" s="12"/>
      <c r="N3187" s="12"/>
      <c r="S3187" s="12"/>
      <c r="X3187" s="12"/>
      <c r="AM3187" s="12"/>
    </row>
    <row r="3188" spans="9:39" x14ac:dyDescent="0.3">
      <c r="I3188" s="12"/>
      <c r="N3188" s="12"/>
      <c r="S3188" s="12"/>
      <c r="X3188" s="12"/>
      <c r="AM3188" s="12"/>
    </row>
    <row r="3189" spans="9:39" x14ac:dyDescent="0.3">
      <c r="I3189" s="12"/>
      <c r="N3189" s="12"/>
      <c r="S3189" s="12"/>
      <c r="X3189" s="12"/>
      <c r="AM3189" s="12"/>
    </row>
    <row r="3190" spans="9:39" x14ac:dyDescent="0.3">
      <c r="I3190" s="12"/>
      <c r="N3190" s="12"/>
      <c r="S3190" s="12"/>
      <c r="X3190" s="12"/>
      <c r="AM3190" s="12"/>
    </row>
    <row r="3191" spans="9:39" x14ac:dyDescent="0.3">
      <c r="I3191" s="12"/>
      <c r="N3191" s="12"/>
      <c r="S3191" s="12"/>
      <c r="X3191" s="12"/>
      <c r="AM3191" s="12"/>
    </row>
    <row r="3192" spans="9:39" x14ac:dyDescent="0.3">
      <c r="I3192" s="12"/>
      <c r="N3192" s="12"/>
      <c r="S3192" s="12"/>
      <c r="X3192" s="12"/>
      <c r="AM3192" s="12"/>
    </row>
    <row r="3193" spans="9:39" x14ac:dyDescent="0.3">
      <c r="I3193" s="12"/>
      <c r="N3193" s="12"/>
      <c r="S3193" s="12"/>
      <c r="X3193" s="12"/>
      <c r="AM3193" s="12"/>
    </row>
    <row r="3194" spans="9:39" x14ac:dyDescent="0.3">
      <c r="I3194" s="12"/>
      <c r="N3194" s="12"/>
      <c r="S3194" s="12"/>
      <c r="X3194" s="12"/>
      <c r="AM3194" s="12"/>
    </row>
    <row r="3195" spans="9:39" x14ac:dyDescent="0.3">
      <c r="I3195" s="12"/>
      <c r="N3195" s="12"/>
      <c r="S3195" s="12"/>
      <c r="X3195" s="12"/>
      <c r="AM3195" s="12"/>
    </row>
    <row r="3196" spans="9:39" x14ac:dyDescent="0.3">
      <c r="I3196" s="12"/>
      <c r="N3196" s="12"/>
      <c r="S3196" s="12"/>
      <c r="X3196" s="12"/>
      <c r="AM3196" s="12"/>
    </row>
    <row r="3197" spans="9:39" x14ac:dyDescent="0.3">
      <c r="I3197" s="12"/>
      <c r="N3197" s="12"/>
      <c r="S3197" s="12"/>
      <c r="X3197" s="12"/>
      <c r="AM3197" s="12"/>
    </row>
    <row r="3198" spans="9:39" x14ac:dyDescent="0.3">
      <c r="I3198" s="12"/>
      <c r="N3198" s="12"/>
      <c r="S3198" s="12"/>
      <c r="X3198" s="12"/>
      <c r="AM3198" s="12"/>
    </row>
    <row r="3199" spans="9:39" x14ac:dyDescent="0.3">
      <c r="I3199" s="12"/>
      <c r="N3199" s="12"/>
      <c r="S3199" s="12"/>
      <c r="X3199" s="12"/>
      <c r="AM3199" s="12"/>
    </row>
    <row r="3200" spans="9:39" x14ac:dyDescent="0.3">
      <c r="I3200" s="12"/>
      <c r="N3200" s="12"/>
      <c r="S3200" s="12"/>
      <c r="X3200" s="12"/>
      <c r="AM3200" s="12"/>
    </row>
    <row r="3201" spans="9:39" x14ac:dyDescent="0.3">
      <c r="I3201" s="12"/>
      <c r="N3201" s="12"/>
      <c r="S3201" s="12"/>
      <c r="X3201" s="12"/>
      <c r="AM3201" s="12"/>
    </row>
    <row r="3202" spans="9:39" x14ac:dyDescent="0.3">
      <c r="I3202" s="12"/>
      <c r="N3202" s="12"/>
      <c r="S3202" s="12"/>
      <c r="X3202" s="12"/>
      <c r="AM3202" s="12"/>
    </row>
    <row r="3203" spans="9:39" x14ac:dyDescent="0.3">
      <c r="I3203" s="12"/>
      <c r="N3203" s="12"/>
      <c r="S3203" s="12"/>
      <c r="X3203" s="12"/>
      <c r="AM3203" s="12"/>
    </row>
    <row r="3204" spans="9:39" x14ac:dyDescent="0.3">
      <c r="I3204" s="12"/>
      <c r="N3204" s="12"/>
      <c r="S3204" s="12"/>
      <c r="X3204" s="12"/>
      <c r="AM3204" s="12"/>
    </row>
    <row r="3205" spans="9:39" x14ac:dyDescent="0.3">
      <c r="I3205" s="12"/>
      <c r="N3205" s="12"/>
      <c r="S3205" s="12"/>
      <c r="X3205" s="12"/>
      <c r="AM3205" s="12"/>
    </row>
    <row r="3206" spans="9:39" x14ac:dyDescent="0.3">
      <c r="I3206" s="12"/>
      <c r="N3206" s="12"/>
      <c r="S3206" s="12"/>
      <c r="X3206" s="12"/>
      <c r="AM3206" s="12"/>
    </row>
    <row r="3207" spans="9:39" x14ac:dyDescent="0.3">
      <c r="I3207" s="12"/>
      <c r="N3207" s="12"/>
      <c r="S3207" s="12"/>
      <c r="X3207" s="12"/>
      <c r="AM3207" s="12"/>
    </row>
    <row r="3208" spans="9:39" x14ac:dyDescent="0.3">
      <c r="I3208" s="12"/>
      <c r="N3208" s="12"/>
      <c r="S3208" s="12"/>
      <c r="X3208" s="12"/>
      <c r="AM3208" s="12"/>
    </row>
    <row r="3209" spans="9:39" x14ac:dyDescent="0.3">
      <c r="I3209" s="12"/>
      <c r="N3209" s="12"/>
      <c r="S3209" s="12"/>
      <c r="X3209" s="12"/>
      <c r="AM3209" s="12"/>
    </row>
    <row r="3210" spans="9:39" x14ac:dyDescent="0.3">
      <c r="I3210" s="12"/>
      <c r="N3210" s="12"/>
      <c r="S3210" s="12"/>
      <c r="X3210" s="12"/>
      <c r="AM3210" s="12"/>
    </row>
    <row r="3211" spans="9:39" x14ac:dyDescent="0.3">
      <c r="I3211" s="12"/>
      <c r="N3211" s="12"/>
      <c r="S3211" s="12"/>
      <c r="X3211" s="12"/>
      <c r="AM3211" s="12"/>
    </row>
    <row r="3212" spans="9:39" x14ac:dyDescent="0.3">
      <c r="I3212" s="12"/>
      <c r="N3212" s="12"/>
      <c r="S3212" s="12"/>
      <c r="X3212" s="12"/>
      <c r="AM3212" s="12"/>
    </row>
    <row r="3213" spans="9:39" x14ac:dyDescent="0.3">
      <c r="I3213" s="12"/>
      <c r="N3213" s="12"/>
      <c r="S3213" s="12"/>
      <c r="X3213" s="12"/>
      <c r="AM3213" s="12"/>
    </row>
    <row r="3214" spans="9:39" x14ac:dyDescent="0.3">
      <c r="I3214" s="12"/>
      <c r="N3214" s="12"/>
      <c r="S3214" s="12"/>
      <c r="X3214" s="12"/>
      <c r="AM3214" s="12"/>
    </row>
    <row r="3215" spans="9:39" x14ac:dyDescent="0.3">
      <c r="I3215" s="12"/>
      <c r="N3215" s="12"/>
      <c r="S3215" s="12"/>
      <c r="X3215" s="12"/>
      <c r="AM3215" s="12"/>
    </row>
    <row r="3216" spans="9:39" x14ac:dyDescent="0.3">
      <c r="I3216" s="12"/>
      <c r="N3216" s="12"/>
      <c r="S3216" s="12"/>
      <c r="X3216" s="12"/>
      <c r="AM3216" s="12"/>
    </row>
    <row r="3217" spans="9:39" x14ac:dyDescent="0.3">
      <c r="I3217" s="12"/>
      <c r="N3217" s="12"/>
      <c r="S3217" s="12"/>
      <c r="X3217" s="12"/>
      <c r="AM3217" s="12"/>
    </row>
    <row r="3218" spans="9:39" x14ac:dyDescent="0.3">
      <c r="I3218" s="12"/>
      <c r="N3218" s="12"/>
      <c r="S3218" s="12"/>
      <c r="X3218" s="12"/>
      <c r="AM3218" s="12"/>
    </row>
    <row r="3219" spans="9:39" x14ac:dyDescent="0.3">
      <c r="I3219" s="12"/>
      <c r="N3219" s="12"/>
      <c r="S3219" s="12"/>
      <c r="X3219" s="12"/>
      <c r="AM3219" s="12"/>
    </row>
    <row r="3220" spans="9:39" x14ac:dyDescent="0.3">
      <c r="I3220" s="12"/>
      <c r="N3220" s="12"/>
      <c r="S3220" s="12"/>
      <c r="X3220" s="12"/>
      <c r="AM3220" s="12"/>
    </row>
    <row r="3221" spans="9:39" x14ac:dyDescent="0.3">
      <c r="I3221" s="12"/>
      <c r="N3221" s="12"/>
      <c r="S3221" s="12"/>
      <c r="X3221" s="12"/>
      <c r="AM3221" s="12"/>
    </row>
    <row r="3222" spans="9:39" x14ac:dyDescent="0.3">
      <c r="I3222" s="12"/>
      <c r="N3222" s="12"/>
      <c r="S3222" s="12"/>
      <c r="X3222" s="12"/>
      <c r="AM3222" s="12"/>
    </row>
    <row r="3223" spans="9:39" x14ac:dyDescent="0.3">
      <c r="I3223" s="12"/>
      <c r="N3223" s="12"/>
      <c r="S3223" s="12"/>
      <c r="X3223" s="12"/>
      <c r="AM3223" s="12"/>
    </row>
    <row r="3224" spans="9:39" x14ac:dyDescent="0.3">
      <c r="I3224" s="12"/>
      <c r="N3224" s="12"/>
      <c r="S3224" s="12"/>
      <c r="X3224" s="12"/>
      <c r="AM3224" s="12"/>
    </row>
    <row r="3225" spans="9:39" x14ac:dyDescent="0.3">
      <c r="I3225" s="12"/>
      <c r="N3225" s="12"/>
      <c r="S3225" s="12"/>
      <c r="X3225" s="12"/>
      <c r="AM3225" s="12"/>
    </row>
    <row r="3226" spans="9:39" x14ac:dyDescent="0.3">
      <c r="I3226" s="12"/>
      <c r="N3226" s="12"/>
      <c r="S3226" s="12"/>
      <c r="X3226" s="12"/>
      <c r="AM3226" s="12"/>
    </row>
    <row r="3227" spans="9:39" x14ac:dyDescent="0.3">
      <c r="I3227" s="12"/>
      <c r="N3227" s="12"/>
      <c r="S3227" s="12"/>
      <c r="X3227" s="12"/>
      <c r="AM3227" s="12"/>
    </row>
    <row r="3228" spans="9:39" x14ac:dyDescent="0.3">
      <c r="I3228" s="12"/>
      <c r="N3228" s="12"/>
      <c r="S3228" s="12"/>
      <c r="X3228" s="12"/>
      <c r="AM3228" s="12"/>
    </row>
    <row r="3229" spans="9:39" x14ac:dyDescent="0.3">
      <c r="I3229" s="12"/>
      <c r="N3229" s="12"/>
      <c r="S3229" s="12"/>
      <c r="X3229" s="12"/>
      <c r="AM3229" s="12"/>
    </row>
    <row r="3230" spans="9:39" x14ac:dyDescent="0.3">
      <c r="I3230" s="12"/>
      <c r="N3230" s="12"/>
      <c r="S3230" s="12"/>
      <c r="X3230" s="12"/>
      <c r="AM3230" s="12"/>
    </row>
    <row r="3231" spans="9:39" x14ac:dyDescent="0.3">
      <c r="I3231" s="12"/>
      <c r="N3231" s="12"/>
      <c r="S3231" s="12"/>
      <c r="X3231" s="12"/>
      <c r="AM3231" s="12"/>
    </row>
    <row r="3232" spans="9:39" x14ac:dyDescent="0.3">
      <c r="I3232" s="12"/>
      <c r="N3232" s="12"/>
      <c r="S3232" s="12"/>
      <c r="X3232" s="12"/>
      <c r="AM3232" s="12"/>
    </row>
    <row r="3233" spans="9:39" x14ac:dyDescent="0.3">
      <c r="I3233" s="12"/>
      <c r="N3233" s="12"/>
      <c r="S3233" s="12"/>
      <c r="X3233" s="12"/>
      <c r="AM3233" s="12"/>
    </row>
    <row r="3234" spans="9:39" x14ac:dyDescent="0.3">
      <c r="I3234" s="12"/>
      <c r="N3234" s="12"/>
      <c r="S3234" s="12"/>
      <c r="X3234" s="12"/>
      <c r="AM3234" s="12"/>
    </row>
    <row r="3235" spans="9:39" x14ac:dyDescent="0.3">
      <c r="I3235" s="12"/>
      <c r="N3235" s="12"/>
      <c r="S3235" s="12"/>
      <c r="X3235" s="12"/>
      <c r="AM3235" s="12"/>
    </row>
    <row r="3236" spans="9:39" x14ac:dyDescent="0.3">
      <c r="I3236" s="12"/>
      <c r="N3236" s="12"/>
      <c r="S3236" s="12"/>
      <c r="X3236" s="12"/>
      <c r="AM3236" s="12"/>
    </row>
    <row r="3237" spans="9:39" x14ac:dyDescent="0.3">
      <c r="I3237" s="12"/>
      <c r="N3237" s="12"/>
      <c r="S3237" s="12"/>
      <c r="X3237" s="12"/>
      <c r="AM3237" s="12"/>
    </row>
    <row r="3238" spans="9:39" x14ac:dyDescent="0.3">
      <c r="I3238" s="12"/>
      <c r="N3238" s="12"/>
      <c r="S3238" s="12"/>
      <c r="X3238" s="12"/>
      <c r="AM3238" s="12"/>
    </row>
    <row r="3239" spans="9:39" x14ac:dyDescent="0.3">
      <c r="I3239" s="12"/>
      <c r="N3239" s="12"/>
      <c r="S3239" s="12"/>
      <c r="X3239" s="12"/>
      <c r="AM3239" s="12"/>
    </row>
    <row r="3240" spans="9:39" x14ac:dyDescent="0.3">
      <c r="I3240" s="12"/>
      <c r="N3240" s="12"/>
      <c r="S3240" s="12"/>
      <c r="X3240" s="12"/>
      <c r="AM3240" s="12"/>
    </row>
    <row r="3241" spans="9:39" x14ac:dyDescent="0.3">
      <c r="I3241" s="12"/>
      <c r="N3241" s="12"/>
      <c r="S3241" s="12"/>
      <c r="X3241" s="12"/>
      <c r="AM3241" s="12"/>
    </row>
    <row r="3242" spans="9:39" x14ac:dyDescent="0.3">
      <c r="I3242" s="12"/>
      <c r="N3242" s="12"/>
      <c r="S3242" s="12"/>
      <c r="X3242" s="12"/>
      <c r="AM3242" s="12"/>
    </row>
    <row r="3243" spans="9:39" x14ac:dyDescent="0.3">
      <c r="I3243" s="12"/>
      <c r="N3243" s="12"/>
      <c r="S3243" s="12"/>
      <c r="X3243" s="12"/>
      <c r="AM3243" s="12"/>
    </row>
    <row r="3244" spans="9:39" x14ac:dyDescent="0.3">
      <c r="I3244" s="12"/>
      <c r="N3244" s="12"/>
      <c r="S3244" s="12"/>
      <c r="X3244" s="12"/>
      <c r="AM3244" s="12"/>
    </row>
    <row r="3245" spans="9:39" x14ac:dyDescent="0.3">
      <c r="I3245" s="12"/>
      <c r="N3245" s="12"/>
      <c r="S3245" s="12"/>
      <c r="X3245" s="12"/>
      <c r="AM3245" s="12"/>
    </row>
    <row r="3246" spans="9:39" x14ac:dyDescent="0.3">
      <c r="I3246" s="12"/>
      <c r="N3246" s="12"/>
      <c r="S3246" s="12"/>
      <c r="X3246" s="12"/>
      <c r="AM3246" s="12"/>
    </row>
    <row r="3247" spans="9:39" x14ac:dyDescent="0.3">
      <c r="I3247" s="12"/>
      <c r="N3247" s="12"/>
      <c r="S3247" s="12"/>
      <c r="X3247" s="12"/>
      <c r="AM3247" s="12"/>
    </row>
    <row r="3248" spans="9:39" x14ac:dyDescent="0.3">
      <c r="I3248" s="12"/>
      <c r="N3248" s="12"/>
      <c r="S3248" s="12"/>
      <c r="X3248" s="12"/>
      <c r="AM3248" s="12"/>
    </row>
    <row r="3249" spans="9:39" x14ac:dyDescent="0.3">
      <c r="I3249" s="12"/>
      <c r="N3249" s="12"/>
      <c r="S3249" s="12"/>
      <c r="X3249" s="12"/>
      <c r="AM3249" s="12"/>
    </row>
    <row r="3250" spans="9:39" x14ac:dyDescent="0.3">
      <c r="I3250" s="12"/>
      <c r="N3250" s="12"/>
      <c r="S3250" s="12"/>
      <c r="X3250" s="12"/>
      <c r="AM3250" s="12"/>
    </row>
    <row r="3251" spans="9:39" x14ac:dyDescent="0.3">
      <c r="I3251" s="12"/>
      <c r="N3251" s="12"/>
      <c r="S3251" s="12"/>
      <c r="X3251" s="12"/>
      <c r="AM3251" s="12"/>
    </row>
    <row r="3252" spans="9:39" x14ac:dyDescent="0.3">
      <c r="I3252" s="12"/>
      <c r="N3252" s="12"/>
      <c r="S3252" s="12"/>
      <c r="X3252" s="12"/>
      <c r="AM3252" s="12"/>
    </row>
    <row r="3253" spans="9:39" x14ac:dyDescent="0.3">
      <c r="I3253" s="12"/>
      <c r="N3253" s="12"/>
      <c r="S3253" s="12"/>
      <c r="X3253" s="12"/>
      <c r="AM3253" s="12"/>
    </row>
    <row r="3254" spans="9:39" x14ac:dyDescent="0.3">
      <c r="I3254" s="12"/>
      <c r="N3254" s="12"/>
      <c r="S3254" s="12"/>
      <c r="X3254" s="12"/>
      <c r="AM3254" s="12"/>
    </row>
    <row r="3255" spans="9:39" x14ac:dyDescent="0.3">
      <c r="I3255" s="12"/>
      <c r="N3255" s="12"/>
      <c r="S3255" s="12"/>
      <c r="X3255" s="12"/>
      <c r="AM3255" s="12"/>
    </row>
    <row r="3256" spans="9:39" x14ac:dyDescent="0.3">
      <c r="I3256" s="12"/>
      <c r="N3256" s="12"/>
      <c r="S3256" s="12"/>
      <c r="X3256" s="12"/>
      <c r="AM3256" s="12"/>
    </row>
    <row r="3257" spans="9:39" x14ac:dyDescent="0.3">
      <c r="I3257" s="12"/>
      <c r="N3257" s="12"/>
      <c r="S3257" s="12"/>
      <c r="X3257" s="12"/>
      <c r="AM3257" s="12"/>
    </row>
    <row r="3258" spans="9:39" x14ac:dyDescent="0.3">
      <c r="I3258" s="12"/>
      <c r="N3258" s="12"/>
      <c r="S3258" s="12"/>
      <c r="X3258" s="12"/>
      <c r="AM3258" s="12"/>
    </row>
    <row r="3259" spans="9:39" x14ac:dyDescent="0.3">
      <c r="I3259" s="12"/>
      <c r="N3259" s="12"/>
      <c r="S3259" s="12"/>
      <c r="X3259" s="12"/>
      <c r="AM3259" s="12"/>
    </row>
    <row r="3260" spans="9:39" x14ac:dyDescent="0.3">
      <c r="I3260" s="12"/>
      <c r="N3260" s="12"/>
      <c r="S3260" s="12"/>
      <c r="X3260" s="12"/>
      <c r="AM3260" s="12"/>
    </row>
    <row r="3261" spans="9:39" x14ac:dyDescent="0.3">
      <c r="I3261" s="12"/>
      <c r="N3261" s="12"/>
      <c r="S3261" s="12"/>
      <c r="X3261" s="12"/>
      <c r="AM3261" s="12"/>
    </row>
    <row r="3262" spans="9:39" x14ac:dyDescent="0.3">
      <c r="I3262" s="12"/>
      <c r="N3262" s="12"/>
      <c r="S3262" s="12"/>
      <c r="X3262" s="12"/>
      <c r="AM3262" s="12"/>
    </row>
    <row r="3263" spans="9:39" x14ac:dyDescent="0.3">
      <c r="I3263" s="12"/>
      <c r="N3263" s="12"/>
      <c r="S3263" s="12"/>
      <c r="X3263" s="12"/>
      <c r="AM3263" s="12"/>
    </row>
    <row r="3264" spans="9:39" x14ac:dyDescent="0.3">
      <c r="I3264" s="12"/>
      <c r="N3264" s="12"/>
      <c r="S3264" s="12"/>
      <c r="X3264" s="12"/>
      <c r="AM3264" s="12"/>
    </row>
    <row r="3265" spans="9:39" x14ac:dyDescent="0.3">
      <c r="I3265" s="12"/>
      <c r="N3265" s="12"/>
      <c r="S3265" s="12"/>
      <c r="X3265" s="12"/>
      <c r="AM3265" s="12"/>
    </row>
    <row r="3266" spans="9:39" x14ac:dyDescent="0.3">
      <c r="I3266" s="12"/>
      <c r="N3266" s="12"/>
      <c r="S3266" s="12"/>
      <c r="X3266" s="12"/>
      <c r="AM3266" s="12"/>
    </row>
    <row r="3267" spans="9:39" x14ac:dyDescent="0.3">
      <c r="I3267" s="12"/>
      <c r="N3267" s="12"/>
      <c r="S3267" s="12"/>
      <c r="X3267" s="12"/>
      <c r="AM3267" s="12"/>
    </row>
    <row r="3268" spans="9:39" x14ac:dyDescent="0.3">
      <c r="I3268" s="12"/>
      <c r="N3268" s="12"/>
      <c r="S3268" s="12"/>
      <c r="X3268" s="12"/>
      <c r="AM3268" s="12"/>
    </row>
    <row r="3269" spans="9:39" x14ac:dyDescent="0.3">
      <c r="I3269" s="12"/>
      <c r="N3269" s="12"/>
      <c r="S3269" s="12"/>
      <c r="X3269" s="12"/>
      <c r="AM3269" s="12"/>
    </row>
    <row r="3270" spans="9:39" x14ac:dyDescent="0.3">
      <c r="I3270" s="12"/>
      <c r="N3270" s="12"/>
      <c r="S3270" s="12"/>
      <c r="X3270" s="12"/>
      <c r="AM3270" s="12"/>
    </row>
    <row r="3271" spans="9:39" x14ac:dyDescent="0.3">
      <c r="I3271" s="12"/>
      <c r="N3271" s="12"/>
      <c r="S3271" s="12"/>
      <c r="X3271" s="12"/>
      <c r="AM3271" s="12"/>
    </row>
    <row r="3272" spans="9:39" x14ac:dyDescent="0.3">
      <c r="I3272" s="12"/>
      <c r="N3272" s="12"/>
      <c r="S3272" s="12"/>
      <c r="X3272" s="12"/>
      <c r="AM3272" s="12"/>
    </row>
    <row r="3273" spans="9:39" x14ac:dyDescent="0.3">
      <c r="I3273" s="12"/>
      <c r="N3273" s="12"/>
      <c r="S3273" s="12"/>
      <c r="X3273" s="12"/>
      <c r="AM3273" s="12"/>
    </row>
    <row r="3274" spans="9:39" x14ac:dyDescent="0.3">
      <c r="I3274" s="12"/>
      <c r="N3274" s="12"/>
      <c r="S3274" s="12"/>
      <c r="X3274" s="12"/>
      <c r="AM3274" s="12"/>
    </row>
    <row r="3275" spans="9:39" x14ac:dyDescent="0.3">
      <c r="I3275" s="12"/>
      <c r="N3275" s="12"/>
      <c r="S3275" s="12"/>
      <c r="X3275" s="12"/>
      <c r="AM3275" s="12"/>
    </row>
    <row r="3276" spans="9:39" x14ac:dyDescent="0.3">
      <c r="I3276" s="12"/>
      <c r="N3276" s="12"/>
      <c r="S3276" s="12"/>
      <c r="X3276" s="12"/>
      <c r="AM3276" s="12"/>
    </row>
    <row r="3277" spans="9:39" x14ac:dyDescent="0.3">
      <c r="I3277" s="12"/>
      <c r="N3277" s="12"/>
      <c r="S3277" s="12"/>
      <c r="X3277" s="12"/>
      <c r="AM3277" s="12"/>
    </row>
    <row r="3278" spans="9:39" x14ac:dyDescent="0.3">
      <c r="I3278" s="12"/>
      <c r="N3278" s="12"/>
      <c r="S3278" s="12"/>
      <c r="X3278" s="12"/>
      <c r="AM3278" s="12"/>
    </row>
    <row r="3279" spans="9:39" x14ac:dyDescent="0.3">
      <c r="I3279" s="12"/>
      <c r="N3279" s="12"/>
      <c r="S3279" s="12"/>
      <c r="X3279" s="12"/>
      <c r="AM3279" s="12"/>
    </row>
    <row r="3280" spans="9:39" x14ac:dyDescent="0.3">
      <c r="I3280" s="12"/>
      <c r="N3280" s="12"/>
      <c r="S3280" s="12"/>
      <c r="X3280" s="12"/>
      <c r="AM3280" s="12"/>
    </row>
    <row r="3281" spans="9:39" x14ac:dyDescent="0.3">
      <c r="I3281" s="12"/>
      <c r="N3281" s="12"/>
      <c r="S3281" s="12"/>
      <c r="X3281" s="12"/>
      <c r="AM3281" s="12"/>
    </row>
    <row r="3282" spans="9:39" x14ac:dyDescent="0.3">
      <c r="I3282" s="12"/>
      <c r="N3282" s="12"/>
      <c r="S3282" s="12"/>
      <c r="X3282" s="12"/>
      <c r="AM3282" s="12"/>
    </row>
    <row r="3283" spans="9:39" x14ac:dyDescent="0.3">
      <c r="I3283" s="12"/>
      <c r="N3283" s="12"/>
      <c r="S3283" s="12"/>
      <c r="X3283" s="12"/>
      <c r="AM3283" s="12"/>
    </row>
    <row r="3284" spans="9:39" x14ac:dyDescent="0.3">
      <c r="I3284" s="12"/>
      <c r="N3284" s="12"/>
      <c r="S3284" s="12"/>
      <c r="X3284" s="12"/>
      <c r="AM3284" s="12"/>
    </row>
    <row r="3285" spans="9:39" x14ac:dyDescent="0.3">
      <c r="I3285" s="12"/>
      <c r="N3285" s="12"/>
      <c r="S3285" s="12"/>
      <c r="X3285" s="12"/>
      <c r="AM3285" s="12"/>
    </row>
    <row r="3286" spans="9:39" x14ac:dyDescent="0.3">
      <c r="I3286" s="12"/>
      <c r="N3286" s="12"/>
      <c r="S3286" s="12"/>
      <c r="X3286" s="12"/>
      <c r="AM3286" s="12"/>
    </row>
    <row r="3287" spans="9:39" x14ac:dyDescent="0.3">
      <c r="I3287" s="12"/>
      <c r="N3287" s="12"/>
      <c r="S3287" s="12"/>
      <c r="X3287" s="12"/>
      <c r="AM3287" s="12"/>
    </row>
    <row r="3288" spans="9:39" x14ac:dyDescent="0.3">
      <c r="I3288" s="12"/>
      <c r="N3288" s="12"/>
      <c r="S3288" s="12"/>
      <c r="X3288" s="12"/>
      <c r="AM3288" s="12"/>
    </row>
    <row r="3289" spans="9:39" x14ac:dyDescent="0.3">
      <c r="I3289" s="12"/>
      <c r="N3289" s="12"/>
      <c r="S3289" s="12"/>
      <c r="X3289" s="12"/>
      <c r="AM3289" s="12"/>
    </row>
    <row r="3290" spans="9:39" x14ac:dyDescent="0.3">
      <c r="I3290" s="12"/>
      <c r="N3290" s="12"/>
      <c r="S3290" s="12"/>
      <c r="X3290" s="12"/>
      <c r="AM3290" s="12"/>
    </row>
    <row r="3291" spans="9:39" x14ac:dyDescent="0.3">
      <c r="I3291" s="12"/>
      <c r="N3291" s="12"/>
      <c r="S3291" s="12"/>
      <c r="X3291" s="12"/>
      <c r="AM3291" s="12"/>
    </row>
    <row r="3292" spans="9:39" x14ac:dyDescent="0.3">
      <c r="I3292" s="12"/>
      <c r="N3292" s="12"/>
      <c r="S3292" s="12"/>
      <c r="X3292" s="12"/>
      <c r="AM3292" s="12"/>
    </row>
    <row r="3293" spans="9:39" x14ac:dyDescent="0.3">
      <c r="I3293" s="12"/>
      <c r="N3293" s="12"/>
      <c r="S3293" s="12"/>
      <c r="X3293" s="12"/>
      <c r="AM3293" s="12"/>
    </row>
    <row r="3294" spans="9:39" x14ac:dyDescent="0.3">
      <c r="I3294" s="12"/>
      <c r="N3294" s="12"/>
      <c r="S3294" s="12"/>
      <c r="X3294" s="12"/>
      <c r="AM3294" s="12"/>
    </row>
    <row r="3295" spans="9:39" x14ac:dyDescent="0.3">
      <c r="I3295" s="12"/>
      <c r="N3295" s="12"/>
      <c r="S3295" s="12"/>
      <c r="X3295" s="12"/>
      <c r="AM3295" s="12"/>
    </row>
    <row r="3296" spans="9:39" x14ac:dyDescent="0.3">
      <c r="I3296" s="12"/>
      <c r="N3296" s="12"/>
      <c r="S3296" s="12"/>
      <c r="X3296" s="12"/>
      <c r="AM3296" s="12"/>
    </row>
    <row r="3297" spans="9:39" x14ac:dyDescent="0.3">
      <c r="I3297" s="12"/>
      <c r="N3297" s="12"/>
      <c r="S3297" s="12"/>
      <c r="X3297" s="12"/>
      <c r="AM3297" s="12"/>
    </row>
    <row r="3298" spans="9:39" x14ac:dyDescent="0.3">
      <c r="I3298" s="12"/>
      <c r="N3298" s="12"/>
      <c r="S3298" s="12"/>
      <c r="X3298" s="12"/>
      <c r="AM3298" s="12"/>
    </row>
    <row r="3299" spans="9:39" x14ac:dyDescent="0.3">
      <c r="I3299" s="12"/>
      <c r="N3299" s="12"/>
      <c r="S3299" s="12"/>
      <c r="X3299" s="12"/>
      <c r="AM3299" s="12"/>
    </row>
    <row r="3300" spans="9:39" x14ac:dyDescent="0.3">
      <c r="I3300" s="12"/>
      <c r="N3300" s="12"/>
      <c r="S3300" s="12"/>
      <c r="X3300" s="12"/>
      <c r="AM3300" s="12"/>
    </row>
    <row r="3301" spans="9:39" x14ac:dyDescent="0.3">
      <c r="I3301" s="12"/>
      <c r="N3301" s="12"/>
      <c r="S3301" s="12"/>
      <c r="X3301" s="12"/>
      <c r="AM3301" s="12"/>
    </row>
    <row r="3302" spans="9:39" x14ac:dyDescent="0.3">
      <c r="I3302" s="12"/>
      <c r="N3302" s="12"/>
      <c r="S3302" s="12"/>
      <c r="X3302" s="12"/>
      <c r="AM3302" s="12"/>
    </row>
    <row r="3303" spans="9:39" x14ac:dyDescent="0.3">
      <c r="I3303" s="12"/>
      <c r="N3303" s="12"/>
      <c r="S3303" s="12"/>
      <c r="X3303" s="12"/>
      <c r="AM3303" s="12"/>
    </row>
    <row r="3304" spans="9:39" x14ac:dyDescent="0.3">
      <c r="I3304" s="12"/>
      <c r="N3304" s="12"/>
      <c r="S3304" s="12"/>
      <c r="X3304" s="12"/>
      <c r="AM3304" s="12"/>
    </row>
    <row r="3305" spans="9:39" x14ac:dyDescent="0.3">
      <c r="I3305" s="12"/>
      <c r="N3305" s="12"/>
      <c r="S3305" s="12"/>
      <c r="X3305" s="12"/>
      <c r="AM3305" s="12"/>
    </row>
    <row r="3306" spans="9:39" x14ac:dyDescent="0.3">
      <c r="I3306" s="12"/>
      <c r="N3306" s="12"/>
      <c r="S3306" s="12"/>
      <c r="X3306" s="12"/>
      <c r="AM3306" s="12"/>
    </row>
    <row r="3307" spans="9:39" x14ac:dyDescent="0.3">
      <c r="I3307" s="12"/>
      <c r="N3307" s="12"/>
      <c r="S3307" s="12"/>
      <c r="X3307" s="12"/>
      <c r="AM3307" s="12"/>
    </row>
    <row r="3308" spans="9:39" x14ac:dyDescent="0.3">
      <c r="I3308" s="12"/>
      <c r="N3308" s="12"/>
      <c r="S3308" s="12"/>
      <c r="X3308" s="12"/>
      <c r="AM3308" s="12"/>
    </row>
    <row r="3309" spans="9:39" x14ac:dyDescent="0.3">
      <c r="I3309" s="12"/>
      <c r="N3309" s="12"/>
      <c r="S3309" s="12"/>
      <c r="X3309" s="12"/>
      <c r="AM3309" s="12"/>
    </row>
    <row r="3310" spans="9:39" x14ac:dyDescent="0.3">
      <c r="I3310" s="12"/>
      <c r="N3310" s="12"/>
      <c r="S3310" s="12"/>
      <c r="X3310" s="12"/>
      <c r="AM3310" s="12"/>
    </row>
    <row r="3311" spans="9:39" x14ac:dyDescent="0.3">
      <c r="I3311" s="12"/>
      <c r="N3311" s="12"/>
      <c r="S3311" s="12"/>
      <c r="X3311" s="12"/>
      <c r="AM3311" s="12"/>
    </row>
    <row r="3312" spans="9:39" x14ac:dyDescent="0.3">
      <c r="I3312" s="12"/>
      <c r="N3312" s="12"/>
      <c r="S3312" s="12"/>
      <c r="X3312" s="12"/>
      <c r="AM3312" s="12"/>
    </row>
    <row r="3313" spans="9:39" x14ac:dyDescent="0.3">
      <c r="I3313" s="12"/>
      <c r="N3313" s="12"/>
      <c r="S3313" s="12"/>
      <c r="X3313" s="12"/>
      <c r="AM3313" s="12"/>
    </row>
    <row r="3314" spans="9:39" x14ac:dyDescent="0.3">
      <c r="I3314" s="12"/>
      <c r="N3314" s="12"/>
      <c r="S3314" s="12"/>
      <c r="X3314" s="12"/>
      <c r="AM3314" s="12"/>
    </row>
    <row r="3315" spans="9:39" x14ac:dyDescent="0.3">
      <c r="I3315" s="12"/>
      <c r="N3315" s="12"/>
      <c r="S3315" s="12"/>
      <c r="X3315" s="12"/>
      <c r="AM3315" s="12"/>
    </row>
    <row r="3316" spans="9:39" x14ac:dyDescent="0.3">
      <c r="I3316" s="12"/>
      <c r="N3316" s="12"/>
      <c r="S3316" s="12"/>
      <c r="X3316" s="12"/>
      <c r="AM3316" s="12"/>
    </row>
    <row r="3317" spans="9:39" x14ac:dyDescent="0.3">
      <c r="I3317" s="12"/>
      <c r="N3317" s="12"/>
      <c r="S3317" s="12"/>
      <c r="X3317" s="12"/>
      <c r="AM3317" s="12"/>
    </row>
    <row r="3318" spans="9:39" x14ac:dyDescent="0.3">
      <c r="I3318" s="12"/>
      <c r="N3318" s="12"/>
      <c r="S3318" s="12"/>
      <c r="X3318" s="12"/>
      <c r="AM3318" s="12"/>
    </row>
    <row r="3319" spans="9:39" x14ac:dyDescent="0.3">
      <c r="I3319" s="12"/>
      <c r="N3319" s="12"/>
      <c r="S3319" s="12"/>
      <c r="X3319" s="12"/>
      <c r="AM3319" s="12"/>
    </row>
    <row r="3320" spans="9:39" x14ac:dyDescent="0.3">
      <c r="I3320" s="12"/>
      <c r="N3320" s="12"/>
      <c r="S3320" s="12"/>
      <c r="X3320" s="12"/>
      <c r="AM3320" s="12"/>
    </row>
    <row r="3321" spans="9:39" x14ac:dyDescent="0.3">
      <c r="I3321" s="12"/>
      <c r="N3321" s="12"/>
      <c r="S3321" s="12"/>
      <c r="X3321" s="12"/>
      <c r="AM3321" s="12"/>
    </row>
    <row r="3322" spans="9:39" x14ac:dyDescent="0.3">
      <c r="I3322" s="12"/>
      <c r="N3322" s="12"/>
      <c r="S3322" s="12"/>
      <c r="X3322" s="12"/>
      <c r="AM3322" s="12"/>
    </row>
    <row r="3323" spans="9:39" x14ac:dyDescent="0.3">
      <c r="I3323" s="12"/>
      <c r="N3323" s="12"/>
      <c r="S3323" s="12"/>
      <c r="X3323" s="12"/>
      <c r="AM3323" s="12"/>
    </row>
    <row r="3324" spans="9:39" x14ac:dyDescent="0.3">
      <c r="I3324" s="12"/>
      <c r="N3324" s="12"/>
      <c r="S3324" s="12"/>
      <c r="X3324" s="12"/>
      <c r="AM3324" s="12"/>
    </row>
    <row r="3325" spans="9:39" x14ac:dyDescent="0.3">
      <c r="I3325" s="12"/>
      <c r="N3325" s="12"/>
      <c r="S3325" s="12"/>
      <c r="X3325" s="12"/>
      <c r="AM3325" s="12"/>
    </row>
    <row r="3326" spans="9:39" x14ac:dyDescent="0.3">
      <c r="I3326" s="12"/>
      <c r="N3326" s="12"/>
      <c r="S3326" s="12"/>
      <c r="X3326" s="12"/>
      <c r="AM3326" s="12"/>
    </row>
    <row r="3327" spans="9:39" x14ac:dyDescent="0.3">
      <c r="I3327" s="12"/>
      <c r="N3327" s="12"/>
      <c r="S3327" s="12"/>
      <c r="X3327" s="12"/>
      <c r="AM3327" s="12"/>
    </row>
    <row r="3328" spans="9:39" x14ac:dyDescent="0.3">
      <c r="I3328" s="12"/>
      <c r="N3328" s="12"/>
      <c r="S3328" s="12"/>
      <c r="X3328" s="12"/>
      <c r="AM3328" s="12"/>
    </row>
    <row r="3329" spans="9:39" x14ac:dyDescent="0.3">
      <c r="I3329" s="12"/>
      <c r="N3329" s="12"/>
      <c r="S3329" s="12"/>
      <c r="X3329" s="12"/>
      <c r="AM3329" s="12"/>
    </row>
    <row r="3330" spans="9:39" x14ac:dyDescent="0.3">
      <c r="I3330" s="12"/>
      <c r="N3330" s="12"/>
      <c r="S3330" s="12"/>
      <c r="X3330" s="12"/>
      <c r="AM3330" s="12"/>
    </row>
    <row r="3331" spans="9:39" x14ac:dyDescent="0.3">
      <c r="I3331" s="12"/>
      <c r="N3331" s="12"/>
      <c r="S3331" s="12"/>
      <c r="X3331" s="12"/>
      <c r="AM3331" s="12"/>
    </row>
    <row r="3332" spans="9:39" x14ac:dyDescent="0.3">
      <c r="I3332" s="12"/>
      <c r="N3332" s="12"/>
      <c r="S3332" s="12"/>
      <c r="X3332" s="12"/>
      <c r="AM3332" s="12"/>
    </row>
    <row r="3333" spans="9:39" x14ac:dyDescent="0.3">
      <c r="I3333" s="12"/>
      <c r="N3333" s="12"/>
      <c r="S3333" s="12"/>
      <c r="X3333" s="12"/>
      <c r="AM3333" s="12"/>
    </row>
    <row r="3334" spans="9:39" x14ac:dyDescent="0.3">
      <c r="I3334" s="12"/>
      <c r="N3334" s="12"/>
      <c r="S3334" s="12"/>
      <c r="X3334" s="12"/>
      <c r="AM3334" s="12"/>
    </row>
    <row r="3335" spans="9:39" x14ac:dyDescent="0.3">
      <c r="I3335" s="12"/>
      <c r="N3335" s="12"/>
      <c r="S3335" s="12"/>
      <c r="X3335" s="12"/>
      <c r="AM3335" s="12"/>
    </row>
    <row r="3336" spans="9:39" x14ac:dyDescent="0.3">
      <c r="I3336" s="12"/>
      <c r="N3336" s="12"/>
      <c r="S3336" s="12"/>
      <c r="X3336" s="12"/>
      <c r="AM3336" s="12"/>
    </row>
    <row r="3337" spans="9:39" x14ac:dyDescent="0.3">
      <c r="I3337" s="12"/>
      <c r="N3337" s="12"/>
      <c r="S3337" s="12"/>
      <c r="X3337" s="12"/>
      <c r="AM3337" s="12"/>
    </row>
    <row r="3338" spans="9:39" x14ac:dyDescent="0.3">
      <c r="I3338" s="12"/>
      <c r="N3338" s="12"/>
      <c r="S3338" s="12"/>
      <c r="X3338" s="12"/>
      <c r="AM3338" s="12"/>
    </row>
    <row r="3339" spans="9:39" x14ac:dyDescent="0.3">
      <c r="I3339" s="12"/>
      <c r="N3339" s="12"/>
      <c r="S3339" s="12"/>
      <c r="X3339" s="12"/>
      <c r="AM3339" s="12"/>
    </row>
    <row r="3340" spans="9:39" x14ac:dyDescent="0.3">
      <c r="I3340" s="12"/>
      <c r="N3340" s="12"/>
      <c r="S3340" s="12"/>
      <c r="X3340" s="12"/>
      <c r="AM3340" s="12"/>
    </row>
    <row r="3341" spans="9:39" x14ac:dyDescent="0.3">
      <c r="I3341" s="12"/>
      <c r="N3341" s="12"/>
      <c r="S3341" s="12"/>
      <c r="X3341" s="12"/>
      <c r="AM3341" s="12"/>
    </row>
    <row r="3342" spans="9:39" x14ac:dyDescent="0.3">
      <c r="I3342" s="12"/>
      <c r="N3342" s="12"/>
      <c r="S3342" s="12"/>
      <c r="X3342" s="12"/>
      <c r="AM3342" s="12"/>
    </row>
    <row r="3343" spans="9:39" x14ac:dyDescent="0.3">
      <c r="I3343" s="12"/>
      <c r="N3343" s="12"/>
      <c r="S3343" s="12"/>
      <c r="X3343" s="12"/>
      <c r="AM3343" s="12"/>
    </row>
    <row r="3344" spans="9:39" x14ac:dyDescent="0.3">
      <c r="I3344" s="12"/>
      <c r="N3344" s="12"/>
      <c r="S3344" s="12"/>
      <c r="X3344" s="12"/>
      <c r="AM3344" s="12"/>
    </row>
    <row r="3345" spans="9:39" x14ac:dyDescent="0.3">
      <c r="I3345" s="12"/>
      <c r="N3345" s="12"/>
      <c r="S3345" s="12"/>
      <c r="X3345" s="12"/>
      <c r="AM3345" s="12"/>
    </row>
    <row r="3346" spans="9:39" x14ac:dyDescent="0.3">
      <c r="I3346" s="12"/>
      <c r="N3346" s="12"/>
      <c r="S3346" s="12"/>
      <c r="X3346" s="12"/>
      <c r="AM3346" s="12"/>
    </row>
    <row r="3347" spans="9:39" x14ac:dyDescent="0.3">
      <c r="I3347" s="12"/>
      <c r="N3347" s="12"/>
      <c r="S3347" s="12"/>
      <c r="X3347" s="12"/>
      <c r="AM3347" s="12"/>
    </row>
    <row r="3348" spans="9:39" x14ac:dyDescent="0.3">
      <c r="I3348" s="12"/>
      <c r="N3348" s="12"/>
      <c r="S3348" s="12"/>
      <c r="X3348" s="12"/>
      <c r="AM3348" s="12"/>
    </row>
    <row r="3349" spans="9:39" x14ac:dyDescent="0.3">
      <c r="I3349" s="12"/>
      <c r="N3349" s="12"/>
      <c r="S3349" s="12"/>
      <c r="X3349" s="12"/>
      <c r="AM3349" s="12"/>
    </row>
    <row r="3350" spans="9:39" x14ac:dyDescent="0.3">
      <c r="I3350" s="12"/>
      <c r="N3350" s="12"/>
      <c r="S3350" s="12"/>
      <c r="X3350" s="12"/>
      <c r="AM3350" s="12"/>
    </row>
    <row r="3351" spans="9:39" x14ac:dyDescent="0.3">
      <c r="I3351" s="12"/>
      <c r="N3351" s="12"/>
      <c r="S3351" s="12"/>
      <c r="X3351" s="12"/>
      <c r="AM3351" s="12"/>
    </row>
    <row r="3352" spans="9:39" x14ac:dyDescent="0.3">
      <c r="I3352" s="12"/>
      <c r="N3352" s="12"/>
      <c r="S3352" s="12"/>
      <c r="X3352" s="12"/>
      <c r="AM3352" s="12"/>
    </row>
    <row r="3353" spans="9:39" x14ac:dyDescent="0.3">
      <c r="I3353" s="12"/>
      <c r="N3353" s="12"/>
      <c r="S3353" s="12"/>
      <c r="X3353" s="12"/>
      <c r="AM3353" s="12"/>
    </row>
    <row r="3354" spans="9:39" x14ac:dyDescent="0.3">
      <c r="I3354" s="12"/>
      <c r="N3354" s="12"/>
      <c r="S3354" s="12"/>
      <c r="X3354" s="12"/>
      <c r="AM3354" s="12"/>
    </row>
    <row r="3355" spans="9:39" x14ac:dyDescent="0.3">
      <c r="I3355" s="12"/>
      <c r="N3355" s="12"/>
      <c r="S3355" s="12"/>
      <c r="X3355" s="12"/>
      <c r="AM3355" s="12"/>
    </row>
    <row r="3356" spans="9:39" x14ac:dyDescent="0.3">
      <c r="I3356" s="12"/>
      <c r="N3356" s="12"/>
      <c r="S3356" s="12"/>
      <c r="X3356" s="12"/>
      <c r="AM3356" s="12"/>
    </row>
    <row r="3357" spans="9:39" x14ac:dyDescent="0.3">
      <c r="I3357" s="12"/>
      <c r="N3357" s="12"/>
      <c r="S3357" s="12"/>
      <c r="X3357" s="12"/>
      <c r="AM3357" s="12"/>
    </row>
    <row r="3358" spans="9:39" x14ac:dyDescent="0.3">
      <c r="I3358" s="12"/>
      <c r="N3358" s="12"/>
      <c r="S3358" s="12"/>
      <c r="X3358" s="12"/>
      <c r="AM3358" s="12"/>
    </row>
    <row r="3359" spans="9:39" x14ac:dyDescent="0.3">
      <c r="I3359" s="12"/>
      <c r="N3359" s="12"/>
      <c r="S3359" s="12"/>
      <c r="X3359" s="12"/>
      <c r="AM3359" s="12"/>
    </row>
    <row r="3360" spans="9:39" x14ac:dyDescent="0.3">
      <c r="I3360" s="12"/>
      <c r="N3360" s="12"/>
      <c r="S3360" s="12"/>
      <c r="X3360" s="12"/>
      <c r="AM3360" s="12"/>
    </row>
    <row r="3361" spans="9:39" x14ac:dyDescent="0.3">
      <c r="I3361" s="12"/>
      <c r="N3361" s="12"/>
      <c r="S3361" s="12"/>
      <c r="X3361" s="12"/>
      <c r="AM3361" s="12"/>
    </row>
    <row r="3362" spans="9:39" x14ac:dyDescent="0.3">
      <c r="I3362" s="12"/>
      <c r="N3362" s="12"/>
      <c r="S3362" s="12"/>
      <c r="X3362" s="12"/>
      <c r="AM3362" s="12"/>
    </row>
    <row r="3363" spans="9:39" x14ac:dyDescent="0.3">
      <c r="I3363" s="12"/>
      <c r="N3363" s="12"/>
      <c r="S3363" s="12"/>
      <c r="X3363" s="12"/>
      <c r="AM3363" s="12"/>
    </row>
    <row r="3364" spans="9:39" x14ac:dyDescent="0.3">
      <c r="I3364" s="12"/>
      <c r="N3364" s="12"/>
      <c r="S3364" s="12"/>
      <c r="X3364" s="12"/>
      <c r="AM3364" s="12"/>
    </row>
    <row r="3365" spans="9:39" x14ac:dyDescent="0.3">
      <c r="I3365" s="12"/>
      <c r="N3365" s="12"/>
      <c r="S3365" s="12"/>
      <c r="X3365" s="12"/>
      <c r="AM3365" s="12"/>
    </row>
    <row r="3366" spans="9:39" x14ac:dyDescent="0.3">
      <c r="I3366" s="12"/>
      <c r="N3366" s="12"/>
      <c r="S3366" s="12"/>
      <c r="X3366" s="12"/>
      <c r="AM3366" s="12"/>
    </row>
    <row r="3367" spans="9:39" x14ac:dyDescent="0.3">
      <c r="I3367" s="12"/>
      <c r="N3367" s="12"/>
      <c r="S3367" s="12"/>
      <c r="X3367" s="12"/>
      <c r="AM3367" s="12"/>
    </row>
    <row r="3368" spans="9:39" x14ac:dyDescent="0.3">
      <c r="I3368" s="12"/>
      <c r="N3368" s="12"/>
      <c r="S3368" s="12"/>
      <c r="X3368" s="12"/>
      <c r="AM3368" s="12"/>
    </row>
    <row r="3369" spans="9:39" x14ac:dyDescent="0.3">
      <c r="I3369" s="12"/>
      <c r="N3369" s="12"/>
      <c r="S3369" s="12"/>
      <c r="X3369" s="12"/>
      <c r="AM3369" s="12"/>
    </row>
    <row r="3370" spans="9:39" x14ac:dyDescent="0.3">
      <c r="I3370" s="12"/>
      <c r="N3370" s="12"/>
      <c r="S3370" s="12"/>
      <c r="X3370" s="12"/>
      <c r="AM3370" s="12"/>
    </row>
    <row r="3371" spans="9:39" x14ac:dyDescent="0.3">
      <c r="I3371" s="12"/>
      <c r="N3371" s="12"/>
      <c r="S3371" s="12"/>
      <c r="X3371" s="12"/>
      <c r="AM3371" s="12"/>
    </row>
    <row r="3372" spans="9:39" x14ac:dyDescent="0.3">
      <c r="I3372" s="12"/>
      <c r="N3372" s="12"/>
      <c r="S3372" s="12"/>
      <c r="X3372" s="12"/>
      <c r="AM3372" s="12"/>
    </row>
    <row r="3373" spans="9:39" x14ac:dyDescent="0.3">
      <c r="I3373" s="12"/>
      <c r="N3373" s="12"/>
      <c r="S3373" s="12"/>
      <c r="X3373" s="12"/>
      <c r="AM3373" s="12"/>
    </row>
    <row r="3374" spans="9:39" x14ac:dyDescent="0.3">
      <c r="I3374" s="12"/>
      <c r="N3374" s="12"/>
      <c r="S3374" s="12"/>
      <c r="X3374" s="12"/>
      <c r="AM3374" s="12"/>
    </row>
    <row r="3375" spans="9:39" x14ac:dyDescent="0.3">
      <c r="I3375" s="12"/>
      <c r="N3375" s="12"/>
      <c r="S3375" s="12"/>
      <c r="X3375" s="12"/>
      <c r="AM3375" s="12"/>
    </row>
    <row r="3376" spans="9:39" x14ac:dyDescent="0.3">
      <c r="I3376" s="12"/>
      <c r="N3376" s="12"/>
      <c r="S3376" s="12"/>
      <c r="X3376" s="12"/>
      <c r="AM3376" s="12"/>
    </row>
    <row r="3377" spans="9:39" x14ac:dyDescent="0.3">
      <c r="I3377" s="12"/>
      <c r="N3377" s="12"/>
      <c r="S3377" s="12"/>
      <c r="X3377" s="12"/>
      <c r="AM3377" s="12"/>
    </row>
    <row r="3378" spans="9:39" x14ac:dyDescent="0.3">
      <c r="I3378" s="12"/>
      <c r="N3378" s="12"/>
      <c r="S3378" s="12"/>
      <c r="X3378" s="12"/>
      <c r="AM3378" s="12"/>
    </row>
    <row r="3379" spans="9:39" x14ac:dyDescent="0.3">
      <c r="I3379" s="12"/>
      <c r="N3379" s="12"/>
      <c r="S3379" s="12"/>
      <c r="X3379" s="12"/>
      <c r="AM3379" s="12"/>
    </row>
    <row r="3380" spans="9:39" x14ac:dyDescent="0.3">
      <c r="I3380" s="12"/>
      <c r="N3380" s="12"/>
      <c r="S3380" s="12"/>
      <c r="X3380" s="12"/>
      <c r="AM3380" s="12"/>
    </row>
    <row r="3381" spans="9:39" x14ac:dyDescent="0.3">
      <c r="I3381" s="12"/>
      <c r="N3381" s="12"/>
      <c r="S3381" s="12"/>
      <c r="X3381" s="12"/>
      <c r="AM3381" s="12"/>
    </row>
    <row r="3382" spans="9:39" x14ac:dyDescent="0.3">
      <c r="I3382" s="12"/>
      <c r="N3382" s="12"/>
      <c r="S3382" s="12"/>
      <c r="X3382" s="12"/>
      <c r="AM3382" s="12"/>
    </row>
    <row r="3383" spans="9:39" x14ac:dyDescent="0.3">
      <c r="I3383" s="12"/>
      <c r="N3383" s="12"/>
      <c r="S3383" s="12"/>
      <c r="X3383" s="12"/>
      <c r="AM3383" s="12"/>
    </row>
    <row r="3384" spans="9:39" x14ac:dyDescent="0.3">
      <c r="I3384" s="12"/>
      <c r="N3384" s="12"/>
      <c r="S3384" s="12"/>
      <c r="X3384" s="12"/>
      <c r="AM3384" s="12"/>
    </row>
    <row r="3385" spans="9:39" x14ac:dyDescent="0.3">
      <c r="I3385" s="12"/>
      <c r="N3385" s="12"/>
      <c r="S3385" s="12"/>
      <c r="X3385" s="12"/>
      <c r="AM3385" s="12"/>
    </row>
    <row r="3386" spans="9:39" x14ac:dyDescent="0.3">
      <c r="I3386" s="12"/>
      <c r="N3386" s="12"/>
      <c r="S3386" s="12"/>
      <c r="X3386" s="12"/>
      <c r="AM3386" s="12"/>
    </row>
    <row r="3387" spans="9:39" x14ac:dyDescent="0.3">
      <c r="I3387" s="12"/>
      <c r="N3387" s="12"/>
      <c r="S3387" s="12"/>
      <c r="X3387" s="12"/>
      <c r="AM3387" s="12"/>
    </row>
    <row r="3388" spans="9:39" x14ac:dyDescent="0.3">
      <c r="I3388" s="12"/>
      <c r="N3388" s="12"/>
      <c r="S3388" s="12"/>
      <c r="X3388" s="12"/>
      <c r="AM3388" s="12"/>
    </row>
    <row r="3389" spans="9:39" x14ac:dyDescent="0.3">
      <c r="I3389" s="12"/>
      <c r="N3389" s="12"/>
      <c r="S3389" s="12"/>
      <c r="X3389" s="12"/>
      <c r="AM3389" s="12"/>
    </row>
    <row r="3390" spans="9:39" x14ac:dyDescent="0.3">
      <c r="I3390" s="12"/>
      <c r="N3390" s="12"/>
      <c r="S3390" s="12"/>
      <c r="X3390" s="12"/>
      <c r="AM3390" s="12"/>
    </row>
    <row r="3391" spans="9:39" x14ac:dyDescent="0.3">
      <c r="I3391" s="12"/>
      <c r="N3391" s="12"/>
      <c r="S3391" s="12"/>
      <c r="X3391" s="12"/>
      <c r="AM3391" s="12"/>
    </row>
    <row r="3392" spans="9:39" x14ac:dyDescent="0.3">
      <c r="I3392" s="12"/>
      <c r="N3392" s="12"/>
      <c r="S3392" s="12"/>
      <c r="X3392" s="12"/>
      <c r="AM3392" s="12"/>
    </row>
    <row r="3393" spans="9:39" x14ac:dyDescent="0.3">
      <c r="I3393" s="12"/>
      <c r="N3393" s="12"/>
      <c r="S3393" s="12"/>
      <c r="X3393" s="12"/>
      <c r="AM3393" s="12"/>
    </row>
    <row r="3394" spans="9:39" x14ac:dyDescent="0.3">
      <c r="I3394" s="12"/>
      <c r="N3394" s="12"/>
      <c r="S3394" s="12"/>
      <c r="X3394" s="12"/>
      <c r="AM3394" s="12"/>
    </row>
    <row r="3395" spans="9:39" x14ac:dyDescent="0.3">
      <c r="I3395" s="12"/>
      <c r="N3395" s="12"/>
      <c r="S3395" s="12"/>
      <c r="X3395" s="12"/>
      <c r="AM3395" s="12"/>
    </row>
    <row r="3396" spans="9:39" x14ac:dyDescent="0.3">
      <c r="I3396" s="12"/>
      <c r="N3396" s="12"/>
      <c r="S3396" s="12"/>
      <c r="X3396" s="12"/>
      <c r="AM3396" s="12"/>
    </row>
    <row r="3397" spans="9:39" x14ac:dyDescent="0.3">
      <c r="I3397" s="12"/>
      <c r="N3397" s="12"/>
      <c r="S3397" s="12"/>
      <c r="X3397" s="12"/>
      <c r="AM3397" s="12"/>
    </row>
    <row r="3398" spans="9:39" x14ac:dyDescent="0.3">
      <c r="I3398" s="12"/>
      <c r="N3398" s="12"/>
      <c r="S3398" s="12"/>
      <c r="X3398" s="12"/>
      <c r="AM3398" s="12"/>
    </row>
    <row r="3399" spans="9:39" x14ac:dyDescent="0.3">
      <c r="I3399" s="12"/>
      <c r="N3399" s="12"/>
      <c r="S3399" s="12"/>
      <c r="X3399" s="12"/>
      <c r="AM3399" s="12"/>
    </row>
    <row r="3400" spans="9:39" x14ac:dyDescent="0.3">
      <c r="I3400" s="12"/>
      <c r="N3400" s="12"/>
      <c r="S3400" s="12"/>
      <c r="X3400" s="12"/>
      <c r="AM3400" s="12"/>
    </row>
    <row r="3401" spans="9:39" x14ac:dyDescent="0.3">
      <c r="I3401" s="12"/>
      <c r="N3401" s="12"/>
      <c r="S3401" s="12"/>
      <c r="X3401" s="12"/>
      <c r="AM3401" s="12"/>
    </row>
    <row r="3402" spans="9:39" x14ac:dyDescent="0.3">
      <c r="I3402" s="12"/>
      <c r="N3402" s="12"/>
      <c r="S3402" s="12"/>
      <c r="X3402" s="12"/>
      <c r="AM3402" s="12"/>
    </row>
    <row r="3403" spans="9:39" x14ac:dyDescent="0.3">
      <c r="I3403" s="12"/>
      <c r="N3403" s="12"/>
      <c r="S3403" s="12"/>
      <c r="X3403" s="12"/>
      <c r="AM3403" s="12"/>
    </row>
    <row r="3404" spans="9:39" x14ac:dyDescent="0.3">
      <c r="I3404" s="12"/>
      <c r="N3404" s="12"/>
      <c r="S3404" s="12"/>
      <c r="X3404" s="12"/>
      <c r="AM3404" s="12"/>
    </row>
    <row r="3405" spans="9:39" x14ac:dyDescent="0.3">
      <c r="I3405" s="12"/>
      <c r="N3405" s="12"/>
      <c r="S3405" s="12"/>
      <c r="X3405" s="12"/>
      <c r="AM3405" s="12"/>
    </row>
    <row r="3406" spans="9:39" x14ac:dyDescent="0.3">
      <c r="I3406" s="12"/>
      <c r="N3406" s="12"/>
      <c r="S3406" s="12"/>
      <c r="X3406" s="12"/>
      <c r="AM3406" s="12"/>
    </row>
    <row r="3407" spans="9:39" x14ac:dyDescent="0.3">
      <c r="I3407" s="12"/>
      <c r="N3407" s="12"/>
      <c r="S3407" s="12"/>
      <c r="X3407" s="12"/>
      <c r="AM3407" s="12"/>
    </row>
    <row r="3408" spans="9:39" x14ac:dyDescent="0.3">
      <c r="I3408" s="12"/>
      <c r="N3408" s="12"/>
      <c r="S3408" s="12"/>
      <c r="X3408" s="12"/>
      <c r="AM3408" s="12"/>
    </row>
    <row r="3409" spans="9:39" x14ac:dyDescent="0.3">
      <c r="I3409" s="12"/>
      <c r="N3409" s="12"/>
      <c r="S3409" s="12"/>
      <c r="X3409" s="12"/>
      <c r="AM3409" s="12"/>
    </row>
    <row r="3410" spans="9:39" x14ac:dyDescent="0.3">
      <c r="I3410" s="12"/>
      <c r="N3410" s="12"/>
      <c r="S3410" s="12"/>
      <c r="X3410" s="12"/>
      <c r="AM3410" s="12"/>
    </row>
    <row r="3411" spans="9:39" x14ac:dyDescent="0.3">
      <c r="I3411" s="12"/>
      <c r="N3411" s="12"/>
      <c r="S3411" s="12"/>
      <c r="X3411" s="12"/>
      <c r="AM3411" s="12"/>
    </row>
    <row r="3412" spans="9:39" x14ac:dyDescent="0.3">
      <c r="I3412" s="12"/>
      <c r="N3412" s="12"/>
      <c r="S3412" s="12"/>
      <c r="X3412" s="12"/>
      <c r="AM3412" s="12"/>
    </row>
    <row r="3413" spans="9:39" x14ac:dyDescent="0.3">
      <c r="I3413" s="12"/>
      <c r="N3413" s="12"/>
      <c r="S3413" s="12"/>
      <c r="X3413" s="12"/>
      <c r="AM3413" s="12"/>
    </row>
    <row r="3414" spans="9:39" x14ac:dyDescent="0.3">
      <c r="I3414" s="12"/>
      <c r="N3414" s="12"/>
      <c r="S3414" s="12"/>
      <c r="X3414" s="12"/>
      <c r="AM3414" s="12"/>
    </row>
    <row r="3415" spans="9:39" x14ac:dyDescent="0.3">
      <c r="I3415" s="12"/>
      <c r="N3415" s="12"/>
      <c r="S3415" s="12"/>
      <c r="X3415" s="12"/>
      <c r="AM3415" s="12"/>
    </row>
    <row r="3416" spans="9:39" x14ac:dyDescent="0.3">
      <c r="I3416" s="12"/>
      <c r="N3416" s="12"/>
      <c r="S3416" s="12"/>
      <c r="X3416" s="12"/>
      <c r="AM3416" s="12"/>
    </row>
    <row r="3417" spans="9:39" x14ac:dyDescent="0.3">
      <c r="I3417" s="12"/>
      <c r="N3417" s="12"/>
      <c r="S3417" s="12"/>
      <c r="X3417" s="12"/>
      <c r="AM3417" s="12"/>
    </row>
    <row r="3418" spans="9:39" x14ac:dyDescent="0.3">
      <c r="I3418" s="12"/>
      <c r="N3418" s="12"/>
      <c r="S3418" s="12"/>
      <c r="X3418" s="12"/>
      <c r="AM3418" s="12"/>
    </row>
    <row r="3419" spans="9:39" x14ac:dyDescent="0.3">
      <c r="I3419" s="12"/>
      <c r="N3419" s="12"/>
      <c r="S3419" s="12"/>
      <c r="X3419" s="12"/>
      <c r="AM3419" s="12"/>
    </row>
    <row r="3420" spans="9:39" x14ac:dyDescent="0.3">
      <c r="I3420" s="12"/>
      <c r="N3420" s="12"/>
      <c r="S3420" s="12"/>
      <c r="X3420" s="12"/>
      <c r="AM3420" s="12"/>
    </row>
    <row r="3421" spans="9:39" x14ac:dyDescent="0.3">
      <c r="I3421" s="12"/>
      <c r="N3421" s="12"/>
      <c r="S3421" s="12"/>
      <c r="X3421" s="12"/>
      <c r="AM3421" s="12"/>
    </row>
    <row r="3422" spans="9:39" x14ac:dyDescent="0.3">
      <c r="I3422" s="12"/>
      <c r="N3422" s="12"/>
      <c r="S3422" s="12"/>
      <c r="X3422" s="12"/>
      <c r="AM3422" s="12"/>
    </row>
    <row r="3423" spans="9:39" x14ac:dyDescent="0.3">
      <c r="I3423" s="12"/>
      <c r="N3423" s="12"/>
      <c r="S3423" s="12"/>
      <c r="X3423" s="12"/>
      <c r="AM3423" s="12"/>
    </row>
    <row r="3424" spans="9:39" x14ac:dyDescent="0.3">
      <c r="I3424" s="12"/>
      <c r="N3424" s="12"/>
      <c r="S3424" s="12"/>
      <c r="X3424" s="12"/>
      <c r="AM3424" s="12"/>
    </row>
    <row r="3425" spans="9:39" x14ac:dyDescent="0.3">
      <c r="I3425" s="12"/>
      <c r="N3425" s="12"/>
      <c r="S3425" s="12"/>
      <c r="X3425" s="12"/>
      <c r="AM3425" s="12"/>
    </row>
    <row r="3426" spans="9:39" x14ac:dyDescent="0.3">
      <c r="I3426" s="12"/>
      <c r="N3426" s="12"/>
      <c r="S3426" s="12"/>
      <c r="X3426" s="12"/>
      <c r="AM3426" s="12"/>
    </row>
    <row r="3427" spans="9:39" x14ac:dyDescent="0.3">
      <c r="I3427" s="12"/>
      <c r="N3427" s="12"/>
      <c r="S3427" s="12"/>
      <c r="X3427" s="12"/>
      <c r="AM3427" s="12"/>
    </row>
    <row r="3428" spans="9:39" x14ac:dyDescent="0.3">
      <c r="I3428" s="12"/>
      <c r="N3428" s="12"/>
      <c r="S3428" s="12"/>
      <c r="X3428" s="12"/>
      <c r="AM3428" s="12"/>
    </row>
    <row r="3429" spans="9:39" x14ac:dyDescent="0.3">
      <c r="I3429" s="12"/>
      <c r="N3429" s="12"/>
      <c r="S3429" s="12"/>
      <c r="X3429" s="12"/>
      <c r="AM3429" s="12"/>
    </row>
    <row r="3430" spans="9:39" x14ac:dyDescent="0.3">
      <c r="I3430" s="12"/>
      <c r="N3430" s="12"/>
      <c r="S3430" s="12"/>
      <c r="X3430" s="12"/>
      <c r="AM3430" s="12"/>
    </row>
    <row r="3431" spans="9:39" x14ac:dyDescent="0.3">
      <c r="I3431" s="12"/>
      <c r="N3431" s="12"/>
      <c r="S3431" s="12"/>
      <c r="X3431" s="12"/>
      <c r="AM3431" s="12"/>
    </row>
    <row r="3432" spans="9:39" x14ac:dyDescent="0.3">
      <c r="I3432" s="12"/>
      <c r="N3432" s="12"/>
      <c r="S3432" s="12"/>
      <c r="X3432" s="12"/>
      <c r="AM3432" s="12"/>
    </row>
    <row r="3433" spans="9:39" x14ac:dyDescent="0.3">
      <c r="I3433" s="12"/>
      <c r="N3433" s="12"/>
      <c r="S3433" s="12"/>
      <c r="X3433" s="12"/>
      <c r="AM3433" s="12"/>
    </row>
    <row r="3434" spans="9:39" x14ac:dyDescent="0.3">
      <c r="I3434" s="12"/>
      <c r="N3434" s="12"/>
      <c r="S3434" s="12"/>
      <c r="X3434" s="12"/>
      <c r="AM3434" s="12"/>
    </row>
    <row r="3435" spans="9:39" x14ac:dyDescent="0.3">
      <c r="I3435" s="12"/>
      <c r="N3435" s="12"/>
      <c r="S3435" s="12"/>
      <c r="X3435" s="12"/>
      <c r="AM3435" s="12"/>
    </row>
    <row r="3436" spans="9:39" x14ac:dyDescent="0.3">
      <c r="I3436" s="12"/>
      <c r="N3436" s="12"/>
      <c r="S3436" s="12"/>
      <c r="X3436" s="12"/>
      <c r="AM3436" s="12"/>
    </row>
    <row r="3437" spans="9:39" x14ac:dyDescent="0.3">
      <c r="I3437" s="12"/>
      <c r="N3437" s="12"/>
      <c r="S3437" s="12"/>
      <c r="X3437" s="12"/>
      <c r="AM3437" s="12"/>
    </row>
    <row r="3438" spans="9:39" x14ac:dyDescent="0.3">
      <c r="I3438" s="12"/>
      <c r="N3438" s="12"/>
      <c r="S3438" s="12"/>
      <c r="X3438" s="12"/>
      <c r="AM3438" s="12"/>
    </row>
    <row r="3439" spans="9:39" x14ac:dyDescent="0.3">
      <c r="I3439" s="12"/>
      <c r="N3439" s="12"/>
      <c r="S3439" s="12"/>
      <c r="X3439" s="12"/>
      <c r="AM3439" s="12"/>
    </row>
    <row r="3440" spans="9:39" x14ac:dyDescent="0.3">
      <c r="I3440" s="12"/>
      <c r="N3440" s="12"/>
      <c r="S3440" s="12"/>
      <c r="X3440" s="12"/>
      <c r="AM3440" s="12"/>
    </row>
    <row r="3441" spans="9:39" x14ac:dyDescent="0.3">
      <c r="I3441" s="12"/>
      <c r="N3441" s="12"/>
      <c r="S3441" s="12"/>
      <c r="X3441" s="12"/>
      <c r="AM3441" s="12"/>
    </row>
    <row r="3442" spans="9:39" x14ac:dyDescent="0.3">
      <c r="I3442" s="12"/>
      <c r="N3442" s="12"/>
      <c r="S3442" s="12"/>
      <c r="X3442" s="12"/>
      <c r="AM3442" s="12"/>
    </row>
    <row r="3443" spans="9:39" x14ac:dyDescent="0.3">
      <c r="I3443" s="12"/>
      <c r="N3443" s="12"/>
      <c r="S3443" s="12"/>
      <c r="X3443" s="12"/>
      <c r="AM3443" s="12"/>
    </row>
    <row r="3444" spans="9:39" x14ac:dyDescent="0.3">
      <c r="I3444" s="12"/>
      <c r="N3444" s="12"/>
      <c r="S3444" s="12"/>
      <c r="X3444" s="12"/>
      <c r="AM3444" s="12"/>
    </row>
    <row r="3445" spans="9:39" x14ac:dyDescent="0.3">
      <c r="I3445" s="12"/>
      <c r="N3445" s="12"/>
      <c r="S3445" s="12"/>
      <c r="X3445" s="12"/>
      <c r="AM3445" s="12"/>
    </row>
    <row r="3446" spans="9:39" x14ac:dyDescent="0.3">
      <c r="I3446" s="12"/>
      <c r="N3446" s="12"/>
      <c r="S3446" s="12"/>
      <c r="X3446" s="12"/>
      <c r="AM3446" s="12"/>
    </row>
    <row r="3447" spans="9:39" x14ac:dyDescent="0.3">
      <c r="I3447" s="12"/>
      <c r="N3447" s="12"/>
      <c r="S3447" s="12"/>
      <c r="X3447" s="12"/>
      <c r="AM3447" s="12"/>
    </row>
    <row r="3448" spans="9:39" x14ac:dyDescent="0.3">
      <c r="I3448" s="12"/>
      <c r="N3448" s="12"/>
      <c r="S3448" s="12"/>
      <c r="X3448" s="12"/>
      <c r="AM3448" s="12"/>
    </row>
    <row r="3449" spans="9:39" x14ac:dyDescent="0.3">
      <c r="I3449" s="12"/>
      <c r="N3449" s="12"/>
      <c r="S3449" s="12"/>
      <c r="X3449" s="12"/>
      <c r="AM3449" s="12"/>
    </row>
    <row r="3450" spans="9:39" x14ac:dyDescent="0.3">
      <c r="I3450" s="12"/>
      <c r="N3450" s="12"/>
      <c r="S3450" s="12"/>
      <c r="X3450" s="12"/>
      <c r="AM3450" s="12"/>
    </row>
    <row r="3451" spans="9:39" x14ac:dyDescent="0.3">
      <c r="I3451" s="12"/>
      <c r="N3451" s="12"/>
      <c r="S3451" s="12"/>
      <c r="X3451" s="12"/>
      <c r="AM3451" s="12"/>
    </row>
    <row r="3452" spans="9:39" x14ac:dyDescent="0.3">
      <c r="I3452" s="12"/>
      <c r="N3452" s="12"/>
      <c r="S3452" s="12"/>
      <c r="X3452" s="12"/>
      <c r="AM3452" s="12"/>
    </row>
    <row r="3453" spans="9:39" x14ac:dyDescent="0.3">
      <c r="I3453" s="12"/>
      <c r="N3453" s="12"/>
      <c r="S3453" s="12"/>
      <c r="X3453" s="12"/>
      <c r="AM3453" s="12"/>
    </row>
    <row r="3454" spans="9:39" x14ac:dyDescent="0.3">
      <c r="I3454" s="12"/>
      <c r="N3454" s="12"/>
      <c r="S3454" s="12"/>
      <c r="X3454" s="12"/>
      <c r="AM3454" s="12"/>
    </row>
    <row r="3455" spans="9:39" x14ac:dyDescent="0.3">
      <c r="I3455" s="12"/>
      <c r="N3455" s="12"/>
      <c r="S3455" s="12"/>
      <c r="X3455" s="12"/>
      <c r="AM3455" s="12"/>
    </row>
    <row r="3456" spans="9:39" x14ac:dyDescent="0.3">
      <c r="I3456" s="12"/>
      <c r="N3456" s="12"/>
      <c r="S3456" s="12"/>
      <c r="X3456" s="12"/>
      <c r="AM3456" s="12"/>
    </row>
    <row r="3457" spans="9:39" x14ac:dyDescent="0.3">
      <c r="I3457" s="12"/>
      <c r="N3457" s="12"/>
      <c r="S3457" s="12"/>
      <c r="X3457" s="12"/>
      <c r="AM3457" s="12"/>
    </row>
    <row r="3458" spans="9:39" x14ac:dyDescent="0.3">
      <c r="I3458" s="12"/>
      <c r="N3458" s="12"/>
      <c r="S3458" s="12"/>
      <c r="X3458" s="12"/>
      <c r="AM3458" s="12"/>
    </row>
    <row r="3459" spans="9:39" x14ac:dyDescent="0.3">
      <c r="I3459" s="12"/>
      <c r="N3459" s="12"/>
      <c r="S3459" s="12"/>
      <c r="X3459" s="12"/>
      <c r="AM3459" s="12"/>
    </row>
    <row r="3460" spans="9:39" x14ac:dyDescent="0.3">
      <c r="I3460" s="12"/>
      <c r="N3460" s="12"/>
      <c r="S3460" s="12"/>
      <c r="X3460" s="12"/>
      <c r="AM3460" s="12"/>
    </row>
    <row r="3461" spans="9:39" x14ac:dyDescent="0.3">
      <c r="I3461" s="12"/>
      <c r="N3461" s="12"/>
      <c r="S3461" s="12"/>
      <c r="X3461" s="12"/>
      <c r="AM3461" s="12"/>
    </row>
    <row r="3462" spans="9:39" x14ac:dyDescent="0.3">
      <c r="I3462" s="12"/>
      <c r="N3462" s="12"/>
      <c r="S3462" s="12"/>
      <c r="X3462" s="12"/>
      <c r="AM3462" s="12"/>
    </row>
    <row r="3463" spans="9:39" x14ac:dyDescent="0.3">
      <c r="I3463" s="12"/>
      <c r="N3463" s="12"/>
      <c r="S3463" s="12"/>
      <c r="X3463" s="12"/>
      <c r="AM3463" s="12"/>
    </row>
    <row r="3464" spans="9:39" x14ac:dyDescent="0.3">
      <c r="I3464" s="12"/>
      <c r="N3464" s="12"/>
      <c r="S3464" s="12"/>
      <c r="X3464" s="12"/>
      <c r="AM3464" s="12"/>
    </row>
    <row r="3465" spans="9:39" x14ac:dyDescent="0.3">
      <c r="I3465" s="12"/>
      <c r="N3465" s="12"/>
      <c r="S3465" s="12"/>
      <c r="X3465" s="12"/>
      <c r="AM3465" s="12"/>
    </row>
    <row r="3466" spans="9:39" x14ac:dyDescent="0.3">
      <c r="I3466" s="12"/>
      <c r="N3466" s="12"/>
      <c r="S3466" s="12"/>
      <c r="X3466" s="12"/>
      <c r="AM3466" s="12"/>
    </row>
    <row r="3467" spans="9:39" x14ac:dyDescent="0.3">
      <c r="I3467" s="12"/>
      <c r="N3467" s="12"/>
      <c r="S3467" s="12"/>
      <c r="X3467" s="12"/>
      <c r="AM3467" s="12"/>
    </row>
    <row r="3468" spans="9:39" x14ac:dyDescent="0.3">
      <c r="I3468" s="12"/>
      <c r="N3468" s="12"/>
      <c r="S3468" s="12"/>
      <c r="X3468" s="12"/>
      <c r="AM3468" s="12"/>
    </row>
    <row r="3469" spans="9:39" x14ac:dyDescent="0.3">
      <c r="I3469" s="12"/>
      <c r="N3469" s="12"/>
      <c r="S3469" s="12"/>
      <c r="X3469" s="12"/>
      <c r="AM3469" s="12"/>
    </row>
    <row r="3470" spans="9:39" x14ac:dyDescent="0.3">
      <c r="I3470" s="12"/>
      <c r="N3470" s="12"/>
      <c r="S3470" s="12"/>
      <c r="X3470" s="12"/>
      <c r="AM3470" s="12"/>
    </row>
    <row r="3471" spans="9:39" x14ac:dyDescent="0.3">
      <c r="I3471" s="12"/>
      <c r="N3471" s="12"/>
      <c r="S3471" s="12"/>
      <c r="X3471" s="12"/>
      <c r="AM3471" s="12"/>
    </row>
    <row r="3472" spans="9:39" x14ac:dyDescent="0.3">
      <c r="I3472" s="12"/>
      <c r="N3472" s="12"/>
      <c r="S3472" s="12"/>
      <c r="X3472" s="12"/>
      <c r="AM3472" s="12"/>
    </row>
    <row r="3473" spans="9:39" x14ac:dyDescent="0.3">
      <c r="I3473" s="12"/>
      <c r="N3473" s="12"/>
      <c r="S3473" s="12"/>
      <c r="X3473" s="12"/>
      <c r="AM3473" s="12"/>
    </row>
    <row r="3474" spans="9:39" x14ac:dyDescent="0.3">
      <c r="I3474" s="12"/>
      <c r="N3474" s="12"/>
      <c r="S3474" s="12"/>
      <c r="X3474" s="12"/>
      <c r="AM3474" s="12"/>
    </row>
    <row r="3475" spans="9:39" x14ac:dyDescent="0.3">
      <c r="I3475" s="12"/>
      <c r="N3475" s="12"/>
      <c r="S3475" s="12"/>
      <c r="X3475" s="12"/>
      <c r="AM3475" s="12"/>
    </row>
    <row r="3476" spans="9:39" x14ac:dyDescent="0.3">
      <c r="I3476" s="12"/>
      <c r="N3476" s="12"/>
      <c r="S3476" s="12"/>
      <c r="X3476" s="12"/>
      <c r="AM3476" s="12"/>
    </row>
    <row r="3477" spans="9:39" x14ac:dyDescent="0.3">
      <c r="I3477" s="12"/>
      <c r="N3477" s="12"/>
      <c r="S3477" s="12"/>
      <c r="X3477" s="12"/>
      <c r="AM3477" s="12"/>
    </row>
    <row r="3478" spans="9:39" x14ac:dyDescent="0.3">
      <c r="I3478" s="12"/>
      <c r="N3478" s="12"/>
      <c r="S3478" s="12"/>
      <c r="X3478" s="12"/>
      <c r="AM3478" s="12"/>
    </row>
    <row r="3479" spans="9:39" x14ac:dyDescent="0.3">
      <c r="I3479" s="12"/>
      <c r="N3479" s="12"/>
      <c r="S3479" s="12"/>
      <c r="X3479" s="12"/>
      <c r="AM3479" s="12"/>
    </row>
    <row r="3480" spans="9:39" x14ac:dyDescent="0.3">
      <c r="I3480" s="12"/>
      <c r="N3480" s="12"/>
      <c r="S3480" s="12"/>
      <c r="X3480" s="12"/>
      <c r="AM3480" s="12"/>
    </row>
    <row r="3481" spans="9:39" x14ac:dyDescent="0.3">
      <c r="I3481" s="12"/>
      <c r="N3481" s="12"/>
      <c r="S3481" s="12"/>
      <c r="X3481" s="12"/>
      <c r="AM3481" s="12"/>
    </row>
    <row r="3482" spans="9:39" x14ac:dyDescent="0.3">
      <c r="I3482" s="12"/>
      <c r="N3482" s="12"/>
      <c r="S3482" s="12"/>
      <c r="X3482" s="12"/>
      <c r="AM3482" s="12"/>
    </row>
    <row r="3483" spans="9:39" x14ac:dyDescent="0.3">
      <c r="I3483" s="12"/>
      <c r="N3483" s="12"/>
      <c r="S3483" s="12"/>
      <c r="X3483" s="12"/>
      <c r="AM3483" s="12"/>
    </row>
    <row r="3484" spans="9:39" x14ac:dyDescent="0.3">
      <c r="I3484" s="12"/>
      <c r="N3484" s="12"/>
      <c r="S3484" s="12"/>
      <c r="X3484" s="12"/>
      <c r="AM3484" s="12"/>
    </row>
    <row r="3485" spans="9:39" x14ac:dyDescent="0.3">
      <c r="I3485" s="12"/>
      <c r="N3485" s="12"/>
      <c r="S3485" s="12"/>
      <c r="X3485" s="12"/>
      <c r="AM3485" s="12"/>
    </row>
    <row r="3486" spans="9:39" x14ac:dyDescent="0.3">
      <c r="I3486" s="12"/>
      <c r="N3486" s="12"/>
      <c r="S3486" s="12"/>
      <c r="X3486" s="12"/>
      <c r="AM3486" s="12"/>
    </row>
    <row r="3487" spans="9:39" x14ac:dyDescent="0.3">
      <c r="I3487" s="12"/>
      <c r="N3487" s="12"/>
      <c r="S3487" s="12"/>
      <c r="X3487" s="12"/>
      <c r="AM3487" s="12"/>
    </row>
    <row r="3488" spans="9:39" x14ac:dyDescent="0.3">
      <c r="I3488" s="12"/>
      <c r="N3488" s="12"/>
      <c r="S3488" s="12"/>
      <c r="X3488" s="12"/>
      <c r="AM3488" s="12"/>
    </row>
    <row r="3489" spans="9:39" x14ac:dyDescent="0.3">
      <c r="I3489" s="12"/>
      <c r="N3489" s="12"/>
      <c r="S3489" s="12"/>
      <c r="X3489" s="12"/>
      <c r="AM3489" s="12"/>
    </row>
    <row r="3490" spans="9:39" x14ac:dyDescent="0.3">
      <c r="I3490" s="12"/>
      <c r="N3490" s="12"/>
      <c r="S3490" s="12"/>
      <c r="X3490" s="12"/>
      <c r="AM3490" s="12"/>
    </row>
    <row r="3491" spans="9:39" x14ac:dyDescent="0.3">
      <c r="I3491" s="12"/>
      <c r="N3491" s="12"/>
      <c r="S3491" s="12"/>
      <c r="X3491" s="12"/>
      <c r="AM3491" s="12"/>
    </row>
    <row r="3492" spans="9:39" x14ac:dyDescent="0.3">
      <c r="I3492" s="12"/>
      <c r="N3492" s="12"/>
      <c r="S3492" s="12"/>
      <c r="X3492" s="12"/>
      <c r="AM3492" s="12"/>
    </row>
    <row r="3493" spans="9:39" x14ac:dyDescent="0.3">
      <c r="I3493" s="12"/>
      <c r="N3493" s="12"/>
      <c r="S3493" s="12"/>
      <c r="X3493" s="12"/>
      <c r="AM3493" s="12"/>
    </row>
    <row r="3494" spans="9:39" x14ac:dyDescent="0.3">
      <c r="I3494" s="12"/>
      <c r="N3494" s="12"/>
      <c r="S3494" s="12"/>
      <c r="X3494" s="12"/>
      <c r="AM3494" s="12"/>
    </row>
    <row r="3495" spans="9:39" x14ac:dyDescent="0.3">
      <c r="I3495" s="12"/>
      <c r="N3495" s="12"/>
      <c r="S3495" s="12"/>
      <c r="X3495" s="12"/>
      <c r="AM3495" s="12"/>
    </row>
    <row r="3496" spans="9:39" x14ac:dyDescent="0.3">
      <c r="I3496" s="12"/>
      <c r="N3496" s="12"/>
      <c r="S3496" s="12"/>
      <c r="X3496" s="12"/>
      <c r="AM3496" s="12"/>
    </row>
    <row r="3497" spans="9:39" x14ac:dyDescent="0.3">
      <c r="I3497" s="12"/>
      <c r="N3497" s="12"/>
      <c r="S3497" s="12"/>
      <c r="X3497" s="12"/>
      <c r="AM3497" s="12"/>
    </row>
    <row r="3498" spans="9:39" x14ac:dyDescent="0.3">
      <c r="I3498" s="12"/>
      <c r="N3498" s="12"/>
      <c r="S3498" s="12"/>
      <c r="X3498" s="12"/>
      <c r="AM3498" s="12"/>
    </row>
    <row r="3499" spans="9:39" x14ac:dyDescent="0.3">
      <c r="I3499" s="12"/>
      <c r="N3499" s="12"/>
      <c r="S3499" s="12"/>
      <c r="X3499" s="12"/>
      <c r="AM3499" s="12"/>
    </row>
    <row r="3500" spans="9:39" x14ac:dyDescent="0.3">
      <c r="I3500" s="12"/>
      <c r="N3500" s="12"/>
      <c r="S3500" s="12"/>
      <c r="X3500" s="12"/>
      <c r="AM3500" s="12"/>
    </row>
    <row r="3501" spans="9:39" x14ac:dyDescent="0.3">
      <c r="I3501" s="12"/>
      <c r="N3501" s="12"/>
      <c r="S3501" s="12"/>
      <c r="X3501" s="12"/>
      <c r="AM3501" s="12"/>
    </row>
    <row r="3502" spans="9:39" x14ac:dyDescent="0.3">
      <c r="I3502" s="12"/>
      <c r="N3502" s="12"/>
      <c r="S3502" s="12"/>
      <c r="X3502" s="12"/>
      <c r="AM3502" s="12"/>
    </row>
    <row r="3503" spans="9:39" x14ac:dyDescent="0.3">
      <c r="I3503" s="12"/>
      <c r="N3503" s="12"/>
      <c r="S3503" s="12"/>
      <c r="X3503" s="12"/>
      <c r="AM3503" s="12"/>
    </row>
    <row r="3504" spans="9:39" x14ac:dyDescent="0.3">
      <c r="I3504" s="12"/>
      <c r="N3504" s="12"/>
      <c r="S3504" s="12"/>
      <c r="X3504" s="12"/>
      <c r="AM3504" s="12"/>
    </row>
    <row r="3505" spans="9:39" x14ac:dyDescent="0.3">
      <c r="I3505" s="12"/>
      <c r="N3505" s="12"/>
      <c r="S3505" s="12"/>
      <c r="X3505" s="12"/>
      <c r="AM3505" s="12"/>
    </row>
    <row r="3506" spans="9:39" x14ac:dyDescent="0.3">
      <c r="I3506" s="12"/>
      <c r="N3506" s="12"/>
      <c r="S3506" s="12"/>
      <c r="X3506" s="12"/>
      <c r="AM3506" s="12"/>
    </row>
    <row r="3507" spans="9:39" x14ac:dyDescent="0.3">
      <c r="I3507" s="12"/>
      <c r="N3507" s="12"/>
      <c r="S3507" s="12"/>
      <c r="X3507" s="12"/>
      <c r="AM3507" s="12"/>
    </row>
    <row r="3508" spans="9:39" x14ac:dyDescent="0.3">
      <c r="I3508" s="12"/>
      <c r="N3508" s="12"/>
      <c r="S3508" s="12"/>
      <c r="X3508" s="12"/>
      <c r="AM3508" s="12"/>
    </row>
    <row r="3509" spans="9:39" x14ac:dyDescent="0.3">
      <c r="I3509" s="12"/>
      <c r="N3509" s="12"/>
      <c r="S3509" s="12"/>
      <c r="X3509" s="12"/>
      <c r="AM3509" s="12"/>
    </row>
    <row r="3510" spans="9:39" x14ac:dyDescent="0.3">
      <c r="I3510" s="12"/>
      <c r="N3510" s="12"/>
      <c r="S3510" s="12"/>
      <c r="X3510" s="12"/>
      <c r="AM3510" s="12"/>
    </row>
    <row r="3511" spans="9:39" x14ac:dyDescent="0.3">
      <c r="I3511" s="12"/>
      <c r="N3511" s="12"/>
      <c r="S3511" s="12"/>
      <c r="X3511" s="12"/>
      <c r="AM3511" s="12"/>
    </row>
    <row r="3512" spans="9:39" x14ac:dyDescent="0.3">
      <c r="I3512" s="12"/>
      <c r="N3512" s="12"/>
      <c r="S3512" s="12"/>
      <c r="X3512" s="12"/>
      <c r="AM3512" s="12"/>
    </row>
    <row r="3513" spans="9:39" x14ac:dyDescent="0.3">
      <c r="I3513" s="12"/>
      <c r="N3513" s="12"/>
      <c r="S3513" s="12"/>
      <c r="X3513" s="12"/>
      <c r="AM3513" s="12"/>
    </row>
    <row r="3514" spans="9:39" x14ac:dyDescent="0.3">
      <c r="I3514" s="12"/>
      <c r="N3514" s="12"/>
      <c r="S3514" s="12"/>
      <c r="X3514" s="12"/>
      <c r="AM3514" s="12"/>
    </row>
    <row r="3515" spans="9:39" x14ac:dyDescent="0.3">
      <c r="I3515" s="12"/>
      <c r="N3515" s="12"/>
      <c r="S3515" s="12"/>
      <c r="X3515" s="12"/>
      <c r="AM3515" s="12"/>
    </row>
    <row r="3516" spans="9:39" x14ac:dyDescent="0.3">
      <c r="I3516" s="12"/>
      <c r="N3516" s="12"/>
      <c r="S3516" s="12"/>
      <c r="X3516" s="12"/>
      <c r="AM3516" s="12"/>
    </row>
    <row r="3517" spans="9:39" x14ac:dyDescent="0.3">
      <c r="I3517" s="12"/>
      <c r="N3517" s="12"/>
      <c r="S3517" s="12"/>
      <c r="X3517" s="12"/>
      <c r="AM3517" s="12"/>
    </row>
    <row r="3518" spans="9:39" x14ac:dyDescent="0.3">
      <c r="I3518" s="12"/>
      <c r="N3518" s="12"/>
      <c r="S3518" s="12"/>
      <c r="X3518" s="12"/>
      <c r="AM3518" s="12"/>
    </row>
    <row r="3519" spans="9:39" x14ac:dyDescent="0.3">
      <c r="I3519" s="12"/>
      <c r="N3519" s="12"/>
      <c r="S3519" s="12"/>
      <c r="X3519" s="12"/>
      <c r="AM3519" s="12"/>
    </row>
    <row r="3520" spans="9:39" x14ac:dyDescent="0.3">
      <c r="I3520" s="12"/>
      <c r="N3520" s="12"/>
      <c r="S3520" s="12"/>
      <c r="X3520" s="12"/>
      <c r="AM3520" s="12"/>
    </row>
    <row r="3521" spans="9:39" x14ac:dyDescent="0.3">
      <c r="I3521" s="12"/>
      <c r="N3521" s="12"/>
      <c r="S3521" s="12"/>
      <c r="X3521" s="12"/>
      <c r="AM3521" s="12"/>
    </row>
    <row r="3522" spans="9:39" x14ac:dyDescent="0.3">
      <c r="I3522" s="12"/>
      <c r="N3522" s="12"/>
      <c r="S3522" s="12"/>
      <c r="X3522" s="12"/>
      <c r="AM3522" s="12"/>
    </row>
    <row r="3523" spans="9:39" x14ac:dyDescent="0.3">
      <c r="I3523" s="12"/>
      <c r="N3523" s="12"/>
      <c r="S3523" s="12"/>
      <c r="X3523" s="12"/>
      <c r="AM3523" s="12"/>
    </row>
    <row r="3524" spans="9:39" x14ac:dyDescent="0.3">
      <c r="I3524" s="12"/>
      <c r="N3524" s="12"/>
      <c r="S3524" s="12"/>
      <c r="X3524" s="12"/>
      <c r="AM3524" s="12"/>
    </row>
    <row r="3525" spans="9:39" x14ac:dyDescent="0.3">
      <c r="I3525" s="12"/>
      <c r="N3525" s="12"/>
      <c r="S3525" s="12"/>
      <c r="X3525" s="12"/>
      <c r="AM3525" s="12"/>
    </row>
    <row r="3526" spans="9:39" x14ac:dyDescent="0.3">
      <c r="I3526" s="12"/>
      <c r="N3526" s="12"/>
      <c r="S3526" s="12"/>
      <c r="X3526" s="12"/>
      <c r="AM3526" s="12"/>
    </row>
    <row r="3527" spans="9:39" x14ac:dyDescent="0.3">
      <c r="I3527" s="12"/>
      <c r="N3527" s="12"/>
      <c r="S3527" s="12"/>
      <c r="X3527" s="12"/>
      <c r="AM3527" s="12"/>
    </row>
    <row r="3528" spans="9:39" x14ac:dyDescent="0.3">
      <c r="I3528" s="12"/>
      <c r="N3528" s="12"/>
      <c r="S3528" s="12"/>
      <c r="X3528" s="12"/>
      <c r="AM3528" s="12"/>
    </row>
    <row r="3529" spans="9:39" x14ac:dyDescent="0.3">
      <c r="I3529" s="12"/>
      <c r="N3529" s="12"/>
      <c r="S3529" s="12"/>
      <c r="X3529" s="12"/>
      <c r="AM3529" s="12"/>
    </row>
    <row r="3530" spans="9:39" x14ac:dyDescent="0.3">
      <c r="I3530" s="12"/>
      <c r="N3530" s="12"/>
      <c r="S3530" s="12"/>
      <c r="X3530" s="12"/>
      <c r="AM3530" s="12"/>
    </row>
    <row r="3531" spans="9:39" x14ac:dyDescent="0.3">
      <c r="I3531" s="12"/>
      <c r="N3531" s="12"/>
      <c r="S3531" s="12"/>
      <c r="X3531" s="12"/>
      <c r="AM3531" s="12"/>
    </row>
    <row r="3532" spans="9:39" x14ac:dyDescent="0.3">
      <c r="I3532" s="12"/>
      <c r="N3532" s="12"/>
      <c r="S3532" s="12"/>
      <c r="X3532" s="12"/>
      <c r="AM3532" s="12"/>
    </row>
    <row r="3533" spans="9:39" x14ac:dyDescent="0.3">
      <c r="I3533" s="12"/>
      <c r="N3533" s="12"/>
      <c r="S3533" s="12"/>
      <c r="X3533" s="12"/>
      <c r="AM3533" s="12"/>
    </row>
    <row r="3534" spans="9:39" x14ac:dyDescent="0.3">
      <c r="I3534" s="12"/>
      <c r="N3534" s="12"/>
      <c r="S3534" s="12"/>
      <c r="X3534" s="12"/>
      <c r="AM3534" s="12"/>
    </row>
    <row r="3535" spans="9:39" x14ac:dyDescent="0.3">
      <c r="I3535" s="12"/>
      <c r="N3535" s="12"/>
      <c r="S3535" s="12"/>
      <c r="X3535" s="12"/>
      <c r="AM3535" s="12"/>
    </row>
    <row r="3536" spans="9:39" x14ac:dyDescent="0.3">
      <c r="I3536" s="12"/>
      <c r="N3536" s="12"/>
      <c r="S3536" s="12"/>
      <c r="X3536" s="12"/>
      <c r="AM3536" s="12"/>
    </row>
    <row r="3537" spans="9:39" x14ac:dyDescent="0.3">
      <c r="I3537" s="12"/>
      <c r="N3537" s="12"/>
      <c r="S3537" s="12"/>
      <c r="X3537" s="12"/>
      <c r="AM3537" s="12"/>
    </row>
    <row r="3538" spans="9:39" x14ac:dyDescent="0.3">
      <c r="I3538" s="12"/>
      <c r="N3538" s="12"/>
      <c r="S3538" s="12"/>
      <c r="X3538" s="12"/>
      <c r="AM3538" s="12"/>
    </row>
    <row r="3539" spans="9:39" x14ac:dyDescent="0.3">
      <c r="I3539" s="12"/>
      <c r="N3539" s="12"/>
      <c r="S3539" s="12"/>
      <c r="X3539" s="12"/>
      <c r="AM3539" s="12"/>
    </row>
    <row r="3540" spans="9:39" x14ac:dyDescent="0.3">
      <c r="I3540" s="12"/>
      <c r="N3540" s="12"/>
      <c r="S3540" s="12"/>
      <c r="X3540" s="12"/>
      <c r="AM3540" s="12"/>
    </row>
    <row r="3541" spans="9:39" x14ac:dyDescent="0.3">
      <c r="I3541" s="12"/>
      <c r="N3541" s="12"/>
      <c r="S3541" s="12"/>
      <c r="X3541" s="12"/>
      <c r="AM3541" s="12"/>
    </row>
    <row r="3542" spans="9:39" x14ac:dyDescent="0.3">
      <c r="I3542" s="12"/>
      <c r="N3542" s="12"/>
      <c r="S3542" s="12"/>
      <c r="X3542" s="12"/>
      <c r="AM3542" s="12"/>
    </row>
    <row r="3543" spans="9:39" x14ac:dyDescent="0.3">
      <c r="I3543" s="12"/>
      <c r="N3543" s="12"/>
      <c r="S3543" s="12"/>
      <c r="X3543" s="12"/>
      <c r="AM3543" s="12"/>
    </row>
    <row r="3544" spans="9:39" x14ac:dyDescent="0.3">
      <c r="I3544" s="12"/>
      <c r="N3544" s="12"/>
      <c r="S3544" s="12"/>
      <c r="X3544" s="12"/>
      <c r="AM3544" s="12"/>
    </row>
    <row r="3545" spans="9:39" x14ac:dyDescent="0.3">
      <c r="I3545" s="12"/>
      <c r="N3545" s="12"/>
      <c r="S3545" s="12"/>
      <c r="X3545" s="12"/>
      <c r="AM3545" s="12"/>
    </row>
    <row r="3546" spans="9:39" x14ac:dyDescent="0.3">
      <c r="I3546" s="12"/>
      <c r="N3546" s="12"/>
      <c r="S3546" s="12"/>
      <c r="X3546" s="12"/>
      <c r="AM3546" s="12"/>
    </row>
    <row r="3547" spans="9:39" x14ac:dyDescent="0.3">
      <c r="I3547" s="12"/>
      <c r="N3547" s="12"/>
      <c r="S3547" s="12"/>
      <c r="X3547" s="12"/>
      <c r="AM3547" s="12"/>
    </row>
    <row r="3548" spans="9:39" x14ac:dyDescent="0.3">
      <c r="I3548" s="12"/>
      <c r="N3548" s="12"/>
      <c r="S3548" s="12"/>
      <c r="X3548" s="12"/>
      <c r="AM3548" s="12"/>
    </row>
    <row r="3549" spans="9:39" x14ac:dyDescent="0.3">
      <c r="I3549" s="12"/>
      <c r="N3549" s="12"/>
      <c r="S3549" s="12"/>
      <c r="X3549" s="12"/>
      <c r="AM3549" s="12"/>
    </row>
    <row r="3550" spans="9:39" x14ac:dyDescent="0.3">
      <c r="I3550" s="12"/>
      <c r="N3550" s="12"/>
      <c r="S3550" s="12"/>
      <c r="X3550" s="12"/>
      <c r="AM3550" s="12"/>
    </row>
    <row r="3551" spans="9:39" x14ac:dyDescent="0.3">
      <c r="I3551" s="12"/>
      <c r="N3551" s="12"/>
      <c r="S3551" s="12"/>
      <c r="X3551" s="12"/>
      <c r="AM3551" s="12"/>
    </row>
    <row r="3552" spans="9:39" x14ac:dyDescent="0.3">
      <c r="I3552" s="12"/>
      <c r="N3552" s="12"/>
      <c r="S3552" s="12"/>
      <c r="X3552" s="12"/>
      <c r="AM3552" s="12"/>
    </row>
    <row r="3553" spans="9:39" x14ac:dyDescent="0.3">
      <c r="I3553" s="12"/>
      <c r="N3553" s="12"/>
      <c r="S3553" s="12"/>
      <c r="X3553" s="12"/>
      <c r="AM3553" s="12"/>
    </row>
    <row r="3554" spans="9:39" x14ac:dyDescent="0.3">
      <c r="I3554" s="12"/>
      <c r="N3554" s="12"/>
      <c r="S3554" s="12"/>
      <c r="X3554" s="12"/>
      <c r="AM3554" s="12"/>
    </row>
    <row r="3555" spans="9:39" x14ac:dyDescent="0.3">
      <c r="I3555" s="12"/>
      <c r="N3555" s="12"/>
      <c r="S3555" s="12"/>
      <c r="X3555" s="12"/>
      <c r="AM3555" s="12"/>
    </row>
    <row r="3556" spans="9:39" x14ac:dyDescent="0.3">
      <c r="I3556" s="12"/>
      <c r="N3556" s="12"/>
      <c r="S3556" s="12"/>
      <c r="X3556" s="12"/>
      <c r="AM3556" s="12"/>
    </row>
    <row r="3557" spans="9:39" x14ac:dyDescent="0.3">
      <c r="I3557" s="12"/>
      <c r="N3557" s="12"/>
      <c r="S3557" s="12"/>
      <c r="X3557" s="12"/>
      <c r="AM3557" s="12"/>
    </row>
    <row r="3558" spans="9:39" x14ac:dyDescent="0.3">
      <c r="I3558" s="12"/>
      <c r="N3558" s="12"/>
      <c r="S3558" s="12"/>
      <c r="X3558" s="12"/>
      <c r="AM3558" s="12"/>
    </row>
    <row r="3559" spans="9:39" x14ac:dyDescent="0.3">
      <c r="I3559" s="12"/>
      <c r="N3559" s="12"/>
      <c r="S3559" s="12"/>
      <c r="X3559" s="12"/>
      <c r="AM3559" s="12"/>
    </row>
    <row r="3560" spans="9:39" x14ac:dyDescent="0.3">
      <c r="I3560" s="12"/>
      <c r="N3560" s="12"/>
      <c r="S3560" s="12"/>
      <c r="X3560" s="12"/>
      <c r="AM3560" s="12"/>
    </row>
    <row r="3561" spans="9:39" x14ac:dyDescent="0.3">
      <c r="I3561" s="12"/>
      <c r="N3561" s="12"/>
      <c r="S3561" s="12"/>
      <c r="X3561" s="12"/>
      <c r="AM3561" s="12"/>
    </row>
    <row r="3562" spans="9:39" x14ac:dyDescent="0.3">
      <c r="I3562" s="12"/>
      <c r="N3562" s="12"/>
      <c r="S3562" s="12"/>
      <c r="X3562" s="12"/>
      <c r="AM3562" s="12"/>
    </row>
    <row r="3563" spans="9:39" x14ac:dyDescent="0.3">
      <c r="I3563" s="12"/>
      <c r="N3563" s="12"/>
      <c r="S3563" s="12"/>
      <c r="X3563" s="12"/>
      <c r="AM3563" s="12"/>
    </row>
    <row r="3564" spans="9:39" x14ac:dyDescent="0.3">
      <c r="I3564" s="12"/>
      <c r="N3564" s="12"/>
      <c r="S3564" s="12"/>
      <c r="X3564" s="12"/>
      <c r="AM3564" s="12"/>
    </row>
    <row r="3565" spans="9:39" x14ac:dyDescent="0.3">
      <c r="I3565" s="12"/>
      <c r="N3565" s="12"/>
      <c r="S3565" s="12"/>
      <c r="X3565" s="12"/>
      <c r="AM3565" s="12"/>
    </row>
    <row r="3566" spans="9:39" x14ac:dyDescent="0.3">
      <c r="I3566" s="12"/>
      <c r="N3566" s="12"/>
      <c r="S3566" s="12"/>
      <c r="X3566" s="12"/>
      <c r="AM3566" s="12"/>
    </row>
    <row r="3567" spans="9:39" x14ac:dyDescent="0.3">
      <c r="I3567" s="12"/>
      <c r="N3567" s="12"/>
      <c r="S3567" s="12"/>
      <c r="X3567" s="12"/>
      <c r="AM3567" s="12"/>
    </row>
    <row r="3568" spans="9:39" x14ac:dyDescent="0.3">
      <c r="I3568" s="12"/>
      <c r="N3568" s="12"/>
      <c r="S3568" s="12"/>
      <c r="X3568" s="12"/>
      <c r="AM3568" s="12"/>
    </row>
    <row r="3569" spans="9:39" x14ac:dyDescent="0.3">
      <c r="I3569" s="12"/>
      <c r="N3569" s="12"/>
      <c r="S3569" s="12"/>
      <c r="X3569" s="12"/>
      <c r="AM3569" s="12"/>
    </row>
    <row r="3570" spans="9:39" x14ac:dyDescent="0.3">
      <c r="I3570" s="12"/>
      <c r="N3570" s="12"/>
      <c r="S3570" s="12"/>
      <c r="X3570" s="12"/>
      <c r="AM3570" s="12"/>
    </row>
    <row r="3571" spans="9:39" x14ac:dyDescent="0.3">
      <c r="I3571" s="12"/>
      <c r="N3571" s="12"/>
      <c r="S3571" s="12"/>
      <c r="X3571" s="12"/>
      <c r="AM3571" s="12"/>
    </row>
    <row r="3572" spans="9:39" x14ac:dyDescent="0.3">
      <c r="I3572" s="12"/>
      <c r="N3572" s="12"/>
      <c r="S3572" s="12"/>
      <c r="X3572" s="12"/>
      <c r="AM3572" s="12"/>
    </row>
    <row r="3573" spans="9:39" x14ac:dyDescent="0.3">
      <c r="I3573" s="12"/>
      <c r="N3573" s="12"/>
      <c r="S3573" s="12"/>
      <c r="X3573" s="12"/>
      <c r="AM3573" s="12"/>
    </row>
    <row r="3574" spans="9:39" x14ac:dyDescent="0.3">
      <c r="I3574" s="12"/>
      <c r="N3574" s="12"/>
      <c r="S3574" s="12"/>
      <c r="X3574" s="12"/>
      <c r="AM3574" s="12"/>
    </row>
    <row r="3575" spans="9:39" x14ac:dyDescent="0.3">
      <c r="I3575" s="12"/>
      <c r="N3575" s="12"/>
      <c r="S3575" s="12"/>
      <c r="X3575" s="12"/>
      <c r="AM3575" s="12"/>
    </row>
    <row r="3576" spans="9:39" x14ac:dyDescent="0.3">
      <c r="I3576" s="12"/>
      <c r="N3576" s="12"/>
      <c r="S3576" s="12"/>
      <c r="X3576" s="12"/>
      <c r="AM3576" s="12"/>
    </row>
    <row r="3577" spans="9:39" x14ac:dyDescent="0.3">
      <c r="I3577" s="12"/>
      <c r="N3577" s="12"/>
      <c r="S3577" s="12"/>
      <c r="X3577" s="12"/>
      <c r="AM3577" s="12"/>
    </row>
    <row r="3578" spans="9:39" x14ac:dyDescent="0.3">
      <c r="I3578" s="12"/>
      <c r="N3578" s="12"/>
      <c r="S3578" s="12"/>
      <c r="X3578" s="12"/>
      <c r="AM3578" s="12"/>
    </row>
    <row r="3579" spans="9:39" x14ac:dyDescent="0.3">
      <c r="I3579" s="12"/>
      <c r="N3579" s="12"/>
      <c r="S3579" s="12"/>
      <c r="X3579" s="12"/>
      <c r="AM3579" s="12"/>
    </row>
    <row r="3580" spans="9:39" x14ac:dyDescent="0.3">
      <c r="I3580" s="12"/>
      <c r="N3580" s="12"/>
      <c r="S3580" s="12"/>
      <c r="X3580" s="12"/>
      <c r="AM3580" s="12"/>
    </row>
    <row r="3581" spans="9:39" x14ac:dyDescent="0.3">
      <c r="I3581" s="12"/>
      <c r="N3581" s="12"/>
      <c r="S3581" s="12"/>
      <c r="X3581" s="12"/>
      <c r="AM3581" s="12"/>
    </row>
    <row r="3582" spans="9:39" x14ac:dyDescent="0.3">
      <c r="I3582" s="12"/>
      <c r="N3582" s="12"/>
      <c r="S3582" s="12"/>
      <c r="X3582" s="12"/>
      <c r="AM3582" s="12"/>
    </row>
    <row r="3583" spans="9:39" x14ac:dyDescent="0.3">
      <c r="I3583" s="12"/>
      <c r="N3583" s="12"/>
      <c r="S3583" s="12"/>
      <c r="X3583" s="12"/>
      <c r="AM3583" s="12"/>
    </row>
    <row r="3584" spans="9:39" x14ac:dyDescent="0.3">
      <c r="I3584" s="12"/>
      <c r="N3584" s="12"/>
      <c r="S3584" s="12"/>
      <c r="X3584" s="12"/>
      <c r="AM3584" s="12"/>
    </row>
    <row r="3585" spans="9:39" x14ac:dyDescent="0.3">
      <c r="I3585" s="12"/>
      <c r="N3585" s="12"/>
      <c r="S3585" s="12"/>
      <c r="X3585" s="12"/>
      <c r="AM3585" s="12"/>
    </row>
    <row r="3586" spans="9:39" x14ac:dyDescent="0.3">
      <c r="I3586" s="12"/>
      <c r="N3586" s="12"/>
      <c r="S3586" s="12"/>
      <c r="X3586" s="12"/>
      <c r="AM3586" s="12"/>
    </row>
    <row r="3587" spans="9:39" x14ac:dyDescent="0.3">
      <c r="I3587" s="12"/>
      <c r="N3587" s="12"/>
      <c r="S3587" s="12"/>
      <c r="X3587" s="12"/>
      <c r="AM3587" s="12"/>
    </row>
    <row r="3588" spans="9:39" x14ac:dyDescent="0.3">
      <c r="I3588" s="12"/>
      <c r="N3588" s="12"/>
      <c r="S3588" s="12"/>
      <c r="X3588" s="12"/>
      <c r="AM3588" s="12"/>
    </row>
    <row r="3589" spans="9:39" x14ac:dyDescent="0.3">
      <c r="I3589" s="12"/>
      <c r="N3589" s="12"/>
      <c r="S3589" s="12"/>
      <c r="X3589" s="12"/>
      <c r="AM3589" s="12"/>
    </row>
    <row r="3590" spans="9:39" x14ac:dyDescent="0.3">
      <c r="I3590" s="12"/>
      <c r="N3590" s="12"/>
      <c r="S3590" s="12"/>
      <c r="X3590" s="12"/>
      <c r="AM3590" s="12"/>
    </row>
    <row r="3591" spans="9:39" x14ac:dyDescent="0.3">
      <c r="I3591" s="12"/>
      <c r="N3591" s="12"/>
      <c r="S3591" s="12"/>
      <c r="X3591" s="12"/>
      <c r="AM3591" s="12"/>
    </row>
    <row r="3592" spans="9:39" x14ac:dyDescent="0.3">
      <c r="I3592" s="12"/>
      <c r="N3592" s="12"/>
      <c r="S3592" s="12"/>
      <c r="X3592" s="12"/>
      <c r="AM3592" s="12"/>
    </row>
    <row r="3593" spans="9:39" x14ac:dyDescent="0.3">
      <c r="I3593" s="12"/>
      <c r="N3593" s="12"/>
      <c r="S3593" s="12"/>
      <c r="X3593" s="12"/>
      <c r="AM3593" s="12"/>
    </row>
    <row r="3594" spans="9:39" x14ac:dyDescent="0.3">
      <c r="I3594" s="12"/>
      <c r="N3594" s="12"/>
      <c r="S3594" s="12"/>
      <c r="X3594" s="12"/>
      <c r="AM3594" s="12"/>
    </row>
    <row r="3595" spans="9:39" x14ac:dyDescent="0.3">
      <c r="I3595" s="12"/>
      <c r="N3595" s="12"/>
      <c r="S3595" s="12"/>
      <c r="X3595" s="12"/>
      <c r="AM3595" s="12"/>
    </row>
    <row r="3596" spans="9:39" x14ac:dyDescent="0.3">
      <c r="I3596" s="12"/>
      <c r="N3596" s="12"/>
      <c r="S3596" s="12"/>
      <c r="X3596" s="12"/>
      <c r="AM3596" s="12"/>
    </row>
    <row r="3597" spans="9:39" x14ac:dyDescent="0.3">
      <c r="I3597" s="12"/>
      <c r="N3597" s="12"/>
      <c r="S3597" s="12"/>
      <c r="X3597" s="12"/>
      <c r="AM3597" s="12"/>
    </row>
    <row r="3598" spans="9:39" x14ac:dyDescent="0.3">
      <c r="I3598" s="12"/>
      <c r="N3598" s="12"/>
      <c r="S3598" s="12"/>
      <c r="X3598" s="12"/>
      <c r="AM3598" s="12"/>
    </row>
    <row r="3599" spans="9:39" x14ac:dyDescent="0.3">
      <c r="I3599" s="12"/>
      <c r="N3599" s="12"/>
      <c r="S3599" s="12"/>
      <c r="X3599" s="12"/>
      <c r="AM3599" s="12"/>
    </row>
    <row r="3600" spans="9:39" x14ac:dyDescent="0.3">
      <c r="I3600" s="12"/>
      <c r="N3600" s="12"/>
      <c r="S3600" s="12"/>
      <c r="X3600" s="12"/>
      <c r="AM3600" s="12"/>
    </row>
    <row r="3601" spans="9:39" x14ac:dyDescent="0.3">
      <c r="I3601" s="12"/>
      <c r="N3601" s="12"/>
      <c r="S3601" s="12"/>
      <c r="X3601" s="12"/>
      <c r="AM3601" s="12"/>
    </row>
    <row r="3602" spans="9:39" x14ac:dyDescent="0.3">
      <c r="I3602" s="12"/>
      <c r="N3602" s="12"/>
      <c r="S3602" s="12"/>
      <c r="X3602" s="12"/>
      <c r="AM3602" s="12"/>
    </row>
    <row r="3603" spans="9:39" x14ac:dyDescent="0.3">
      <c r="I3603" s="12"/>
      <c r="N3603" s="12"/>
      <c r="S3603" s="12"/>
      <c r="X3603" s="12"/>
      <c r="AM3603" s="12"/>
    </row>
    <row r="3604" spans="9:39" x14ac:dyDescent="0.3">
      <c r="I3604" s="12"/>
      <c r="N3604" s="12"/>
      <c r="S3604" s="12"/>
      <c r="X3604" s="12"/>
      <c r="AM3604" s="12"/>
    </row>
    <row r="3605" spans="9:39" x14ac:dyDescent="0.3">
      <c r="I3605" s="12"/>
      <c r="N3605" s="12"/>
      <c r="S3605" s="12"/>
      <c r="X3605" s="12"/>
      <c r="AM3605" s="12"/>
    </row>
    <row r="3606" spans="9:39" x14ac:dyDescent="0.3">
      <c r="I3606" s="12"/>
      <c r="N3606" s="12"/>
      <c r="S3606" s="12"/>
      <c r="X3606" s="12"/>
      <c r="AM3606" s="12"/>
    </row>
    <row r="3607" spans="9:39" x14ac:dyDescent="0.3">
      <c r="I3607" s="12"/>
      <c r="N3607" s="12"/>
      <c r="S3607" s="12"/>
      <c r="X3607" s="12"/>
      <c r="AM3607" s="12"/>
    </row>
    <row r="3608" spans="9:39" x14ac:dyDescent="0.3">
      <c r="I3608" s="12"/>
      <c r="N3608" s="12"/>
      <c r="S3608" s="12"/>
      <c r="X3608" s="12"/>
      <c r="AM3608" s="12"/>
    </row>
    <row r="3609" spans="9:39" x14ac:dyDescent="0.3">
      <c r="I3609" s="12"/>
      <c r="N3609" s="12"/>
      <c r="S3609" s="12"/>
      <c r="X3609" s="12"/>
      <c r="AM3609" s="12"/>
    </row>
    <row r="3610" spans="9:39" x14ac:dyDescent="0.3">
      <c r="I3610" s="12"/>
      <c r="N3610" s="12"/>
      <c r="S3610" s="12"/>
      <c r="X3610" s="12"/>
      <c r="AM3610" s="12"/>
    </row>
    <row r="3611" spans="9:39" x14ac:dyDescent="0.3">
      <c r="I3611" s="12"/>
      <c r="N3611" s="12"/>
      <c r="S3611" s="12"/>
      <c r="X3611" s="12"/>
      <c r="AM3611" s="12"/>
    </row>
    <row r="3612" spans="9:39" x14ac:dyDescent="0.3">
      <c r="I3612" s="12"/>
      <c r="N3612" s="12"/>
      <c r="S3612" s="12"/>
      <c r="X3612" s="12"/>
      <c r="AM3612" s="12"/>
    </row>
    <row r="3613" spans="9:39" x14ac:dyDescent="0.3">
      <c r="I3613" s="12"/>
      <c r="N3613" s="12"/>
      <c r="S3613" s="12"/>
      <c r="X3613" s="12"/>
      <c r="AM3613" s="12"/>
    </row>
    <row r="3614" spans="9:39" x14ac:dyDescent="0.3">
      <c r="I3614" s="12"/>
      <c r="N3614" s="12"/>
      <c r="S3614" s="12"/>
      <c r="X3614" s="12"/>
      <c r="AM3614" s="12"/>
    </row>
    <row r="3615" spans="9:39" x14ac:dyDescent="0.3">
      <c r="I3615" s="12"/>
      <c r="N3615" s="12"/>
      <c r="S3615" s="12"/>
      <c r="X3615" s="12"/>
      <c r="AM3615" s="12"/>
    </row>
    <row r="3616" spans="9:39" x14ac:dyDescent="0.3">
      <c r="I3616" s="12"/>
      <c r="N3616" s="12"/>
      <c r="S3616" s="12"/>
      <c r="X3616" s="12"/>
      <c r="AM3616" s="12"/>
    </row>
    <row r="3617" spans="9:39" x14ac:dyDescent="0.3">
      <c r="I3617" s="12"/>
      <c r="N3617" s="12"/>
      <c r="S3617" s="12"/>
      <c r="X3617" s="12"/>
      <c r="AM3617" s="12"/>
    </row>
    <row r="3618" spans="9:39" x14ac:dyDescent="0.3">
      <c r="I3618" s="12"/>
      <c r="N3618" s="12"/>
      <c r="S3618" s="12"/>
      <c r="X3618" s="12"/>
      <c r="AM3618" s="12"/>
    </row>
    <row r="3619" spans="9:39" x14ac:dyDescent="0.3">
      <c r="I3619" s="12"/>
      <c r="N3619" s="12"/>
      <c r="S3619" s="12"/>
      <c r="X3619" s="12"/>
      <c r="AM3619" s="12"/>
    </row>
    <row r="3620" spans="9:39" x14ac:dyDescent="0.3">
      <c r="I3620" s="12"/>
      <c r="N3620" s="12"/>
      <c r="S3620" s="12"/>
      <c r="X3620" s="12"/>
      <c r="AM3620" s="12"/>
    </row>
    <row r="3621" spans="9:39" x14ac:dyDescent="0.3">
      <c r="I3621" s="12"/>
      <c r="N3621" s="12"/>
      <c r="S3621" s="12"/>
      <c r="X3621" s="12"/>
      <c r="AM3621" s="12"/>
    </row>
    <row r="3622" spans="9:39" x14ac:dyDescent="0.3">
      <c r="I3622" s="12"/>
      <c r="N3622" s="12"/>
      <c r="S3622" s="12"/>
      <c r="X3622" s="12"/>
      <c r="AM3622" s="12"/>
    </row>
    <row r="3623" spans="9:39" x14ac:dyDescent="0.3">
      <c r="I3623" s="12"/>
      <c r="N3623" s="12"/>
      <c r="S3623" s="12"/>
      <c r="X3623" s="12"/>
      <c r="AM3623" s="12"/>
    </row>
    <row r="3624" spans="9:39" x14ac:dyDescent="0.3">
      <c r="I3624" s="12"/>
      <c r="N3624" s="12"/>
      <c r="S3624" s="12"/>
      <c r="X3624" s="12"/>
      <c r="AM3624" s="12"/>
    </row>
    <row r="3625" spans="9:39" x14ac:dyDescent="0.3">
      <c r="I3625" s="12"/>
      <c r="N3625" s="12"/>
      <c r="S3625" s="12"/>
      <c r="X3625" s="12"/>
      <c r="AM3625" s="12"/>
    </row>
    <row r="3626" spans="9:39" x14ac:dyDescent="0.3">
      <c r="I3626" s="12"/>
      <c r="N3626" s="12"/>
      <c r="S3626" s="12"/>
      <c r="X3626" s="12"/>
      <c r="AM3626" s="12"/>
    </row>
    <row r="3627" spans="9:39" x14ac:dyDescent="0.3">
      <c r="I3627" s="12"/>
      <c r="N3627" s="12"/>
      <c r="S3627" s="12"/>
      <c r="X3627" s="12"/>
      <c r="AM3627" s="12"/>
    </row>
    <row r="3628" spans="9:39" x14ac:dyDescent="0.3">
      <c r="I3628" s="12"/>
      <c r="N3628" s="12"/>
      <c r="S3628" s="12"/>
      <c r="X3628" s="12"/>
      <c r="AM3628" s="12"/>
    </row>
    <row r="3629" spans="9:39" x14ac:dyDescent="0.3">
      <c r="I3629" s="12"/>
      <c r="N3629" s="12"/>
      <c r="S3629" s="12"/>
      <c r="X3629" s="12"/>
      <c r="AM3629" s="12"/>
    </row>
    <row r="3630" spans="9:39" x14ac:dyDescent="0.3">
      <c r="I3630" s="12"/>
      <c r="N3630" s="12"/>
      <c r="S3630" s="12"/>
      <c r="X3630" s="12"/>
      <c r="AM3630" s="12"/>
    </row>
    <row r="3631" spans="9:39" x14ac:dyDescent="0.3">
      <c r="I3631" s="12"/>
      <c r="N3631" s="12"/>
      <c r="S3631" s="12"/>
      <c r="X3631" s="12"/>
      <c r="AM3631" s="12"/>
    </row>
    <row r="3632" spans="9:39" x14ac:dyDescent="0.3">
      <c r="I3632" s="12"/>
      <c r="N3632" s="12"/>
      <c r="S3632" s="12"/>
      <c r="X3632" s="12"/>
      <c r="AM3632" s="12"/>
    </row>
    <row r="3633" spans="9:39" x14ac:dyDescent="0.3">
      <c r="I3633" s="12"/>
      <c r="N3633" s="12"/>
      <c r="S3633" s="12"/>
      <c r="X3633" s="12"/>
      <c r="AM3633" s="12"/>
    </row>
    <row r="3634" spans="9:39" x14ac:dyDescent="0.3">
      <c r="I3634" s="12"/>
      <c r="N3634" s="12"/>
      <c r="S3634" s="12"/>
      <c r="X3634" s="12"/>
      <c r="AM3634" s="12"/>
    </row>
    <row r="3635" spans="9:39" x14ac:dyDescent="0.3">
      <c r="I3635" s="12"/>
      <c r="N3635" s="12"/>
      <c r="S3635" s="12"/>
      <c r="X3635" s="12"/>
      <c r="AM3635" s="12"/>
    </row>
    <row r="3636" spans="9:39" x14ac:dyDescent="0.3">
      <c r="I3636" s="12"/>
      <c r="N3636" s="12"/>
      <c r="S3636" s="12"/>
      <c r="X3636" s="12"/>
      <c r="AM3636" s="12"/>
    </row>
    <row r="3637" spans="9:39" x14ac:dyDescent="0.3">
      <c r="I3637" s="12"/>
      <c r="N3637" s="12"/>
      <c r="S3637" s="12"/>
      <c r="X3637" s="12"/>
      <c r="AM3637" s="12"/>
    </row>
    <row r="3638" spans="9:39" x14ac:dyDescent="0.3">
      <c r="I3638" s="12"/>
      <c r="N3638" s="12"/>
      <c r="S3638" s="12"/>
      <c r="X3638" s="12"/>
      <c r="AM3638" s="12"/>
    </row>
    <row r="3639" spans="9:39" x14ac:dyDescent="0.3">
      <c r="I3639" s="12"/>
      <c r="N3639" s="12"/>
      <c r="S3639" s="12"/>
      <c r="X3639" s="12"/>
      <c r="AM3639" s="12"/>
    </row>
    <row r="3640" spans="9:39" x14ac:dyDescent="0.3">
      <c r="I3640" s="12"/>
      <c r="N3640" s="12"/>
      <c r="S3640" s="12"/>
      <c r="X3640" s="12"/>
      <c r="AM3640" s="12"/>
    </row>
    <row r="3641" spans="9:39" x14ac:dyDescent="0.3">
      <c r="I3641" s="12"/>
      <c r="N3641" s="12"/>
      <c r="S3641" s="12"/>
      <c r="X3641" s="12"/>
      <c r="AM3641" s="12"/>
    </row>
    <row r="3642" spans="9:39" x14ac:dyDescent="0.3">
      <c r="I3642" s="12"/>
      <c r="N3642" s="12"/>
      <c r="S3642" s="12"/>
      <c r="X3642" s="12"/>
      <c r="AM3642" s="12"/>
    </row>
    <row r="3643" spans="9:39" x14ac:dyDescent="0.3">
      <c r="I3643" s="12"/>
      <c r="N3643" s="12"/>
      <c r="S3643" s="12"/>
      <c r="X3643" s="12"/>
      <c r="AM3643" s="12"/>
    </row>
    <row r="3644" spans="9:39" x14ac:dyDescent="0.3">
      <c r="I3644" s="12"/>
      <c r="N3644" s="12"/>
      <c r="S3644" s="12"/>
      <c r="X3644" s="12"/>
      <c r="AM3644" s="12"/>
    </row>
    <row r="3645" spans="9:39" x14ac:dyDescent="0.3">
      <c r="I3645" s="12"/>
      <c r="N3645" s="12"/>
      <c r="S3645" s="12"/>
      <c r="X3645" s="12"/>
      <c r="AM3645" s="12"/>
    </row>
    <row r="3646" spans="9:39" x14ac:dyDescent="0.3">
      <c r="I3646" s="12"/>
      <c r="N3646" s="12"/>
      <c r="S3646" s="12"/>
      <c r="X3646" s="12"/>
      <c r="AM3646" s="12"/>
    </row>
    <row r="3647" spans="9:39" x14ac:dyDescent="0.3">
      <c r="I3647" s="12"/>
      <c r="N3647" s="12"/>
      <c r="S3647" s="12"/>
      <c r="X3647" s="12"/>
      <c r="AM3647" s="12"/>
    </row>
    <row r="3648" spans="9:39" x14ac:dyDescent="0.3">
      <c r="I3648" s="12"/>
      <c r="N3648" s="12"/>
      <c r="S3648" s="12"/>
      <c r="X3648" s="12"/>
      <c r="AM3648" s="12"/>
    </row>
    <row r="3649" spans="9:39" x14ac:dyDescent="0.3">
      <c r="I3649" s="12"/>
      <c r="N3649" s="12"/>
      <c r="S3649" s="12"/>
      <c r="X3649" s="12"/>
      <c r="AM3649" s="12"/>
    </row>
    <row r="3650" spans="9:39" x14ac:dyDescent="0.3">
      <c r="I3650" s="12"/>
      <c r="N3650" s="12"/>
      <c r="S3650" s="12"/>
      <c r="X3650" s="12"/>
      <c r="AM3650" s="12"/>
    </row>
    <row r="3651" spans="9:39" x14ac:dyDescent="0.3">
      <c r="I3651" s="12"/>
      <c r="N3651" s="12"/>
      <c r="S3651" s="12"/>
      <c r="X3651" s="12"/>
      <c r="AM3651" s="12"/>
    </row>
    <row r="3652" spans="9:39" x14ac:dyDescent="0.3">
      <c r="I3652" s="12"/>
      <c r="N3652" s="12"/>
      <c r="S3652" s="12"/>
      <c r="X3652" s="12"/>
      <c r="AM3652" s="12"/>
    </row>
    <row r="3653" spans="9:39" x14ac:dyDescent="0.3">
      <c r="I3653" s="12"/>
      <c r="N3653" s="12"/>
      <c r="S3653" s="12"/>
      <c r="X3653" s="12"/>
      <c r="AM3653" s="12"/>
    </row>
    <row r="3654" spans="9:39" x14ac:dyDescent="0.3">
      <c r="I3654" s="12"/>
      <c r="N3654" s="12"/>
      <c r="S3654" s="12"/>
      <c r="X3654" s="12"/>
      <c r="AM3654" s="12"/>
    </row>
    <row r="3655" spans="9:39" x14ac:dyDescent="0.3">
      <c r="I3655" s="12"/>
      <c r="N3655" s="12"/>
      <c r="S3655" s="12"/>
      <c r="X3655" s="12"/>
      <c r="AM3655" s="12"/>
    </row>
    <row r="3656" spans="9:39" x14ac:dyDescent="0.3">
      <c r="I3656" s="12"/>
      <c r="N3656" s="12"/>
      <c r="S3656" s="12"/>
      <c r="X3656" s="12"/>
      <c r="AM3656" s="12"/>
    </row>
    <row r="3657" spans="9:39" x14ac:dyDescent="0.3">
      <c r="I3657" s="12"/>
      <c r="N3657" s="12"/>
      <c r="S3657" s="12"/>
      <c r="X3657" s="12"/>
      <c r="AM3657" s="12"/>
    </row>
    <row r="3658" spans="9:39" x14ac:dyDescent="0.3">
      <c r="I3658" s="12"/>
      <c r="N3658" s="12"/>
      <c r="S3658" s="12"/>
      <c r="X3658" s="12"/>
      <c r="AM3658" s="12"/>
    </row>
    <row r="3659" spans="9:39" x14ac:dyDescent="0.3">
      <c r="I3659" s="12"/>
      <c r="N3659" s="12"/>
      <c r="S3659" s="12"/>
      <c r="X3659" s="12"/>
      <c r="AM3659" s="12"/>
    </row>
    <row r="3660" spans="9:39" x14ac:dyDescent="0.3">
      <c r="I3660" s="12"/>
      <c r="N3660" s="12"/>
      <c r="S3660" s="12"/>
      <c r="X3660" s="12"/>
      <c r="AM3660" s="12"/>
    </row>
    <row r="3661" spans="9:39" x14ac:dyDescent="0.3">
      <c r="I3661" s="12"/>
      <c r="N3661" s="12"/>
      <c r="S3661" s="12"/>
      <c r="X3661" s="12"/>
      <c r="AM3661" s="12"/>
    </row>
    <row r="3662" spans="9:39" x14ac:dyDescent="0.3">
      <c r="I3662" s="12"/>
      <c r="N3662" s="12"/>
      <c r="S3662" s="12"/>
      <c r="X3662" s="12"/>
      <c r="AM3662" s="12"/>
    </row>
    <row r="3663" spans="9:39" x14ac:dyDescent="0.3">
      <c r="I3663" s="12"/>
      <c r="N3663" s="12"/>
      <c r="S3663" s="12"/>
      <c r="X3663" s="12"/>
      <c r="AM3663" s="12"/>
    </row>
    <row r="3664" spans="9:39" x14ac:dyDescent="0.3">
      <c r="I3664" s="12"/>
      <c r="N3664" s="12"/>
      <c r="S3664" s="12"/>
      <c r="X3664" s="12"/>
      <c r="AM3664" s="12"/>
    </row>
    <row r="3665" spans="9:39" x14ac:dyDescent="0.3">
      <c r="I3665" s="12"/>
      <c r="N3665" s="12"/>
      <c r="S3665" s="12"/>
      <c r="X3665" s="12"/>
      <c r="AM3665" s="12"/>
    </row>
    <row r="3666" spans="9:39" x14ac:dyDescent="0.3">
      <c r="I3666" s="12"/>
      <c r="N3666" s="12"/>
      <c r="S3666" s="12"/>
      <c r="X3666" s="12"/>
      <c r="AM3666" s="12"/>
    </row>
    <row r="3667" spans="9:39" x14ac:dyDescent="0.3">
      <c r="I3667" s="12"/>
      <c r="N3667" s="12"/>
      <c r="S3667" s="12"/>
      <c r="X3667" s="12"/>
      <c r="AM3667" s="12"/>
    </row>
    <row r="3668" spans="9:39" x14ac:dyDescent="0.3">
      <c r="I3668" s="12"/>
      <c r="N3668" s="12"/>
      <c r="S3668" s="12"/>
      <c r="X3668" s="12"/>
      <c r="AM3668" s="12"/>
    </row>
    <row r="3669" spans="9:39" x14ac:dyDescent="0.3">
      <c r="I3669" s="12"/>
      <c r="N3669" s="12"/>
      <c r="S3669" s="12"/>
      <c r="X3669" s="12"/>
      <c r="AM3669" s="12"/>
    </row>
    <row r="3670" spans="9:39" x14ac:dyDescent="0.3">
      <c r="I3670" s="12"/>
      <c r="N3670" s="12"/>
      <c r="S3670" s="12"/>
      <c r="X3670" s="12"/>
      <c r="AM3670" s="12"/>
    </row>
    <row r="3671" spans="9:39" x14ac:dyDescent="0.3">
      <c r="I3671" s="12"/>
      <c r="N3671" s="12"/>
      <c r="S3671" s="12"/>
      <c r="X3671" s="12"/>
      <c r="AM3671" s="12"/>
    </row>
    <row r="3672" spans="9:39" x14ac:dyDescent="0.3">
      <c r="I3672" s="12"/>
      <c r="N3672" s="12"/>
      <c r="S3672" s="12"/>
      <c r="X3672" s="12"/>
      <c r="AM3672" s="12"/>
    </row>
    <row r="3673" spans="9:39" x14ac:dyDescent="0.3">
      <c r="I3673" s="12"/>
      <c r="N3673" s="12"/>
      <c r="S3673" s="12"/>
      <c r="X3673" s="12"/>
      <c r="AM3673" s="12"/>
    </row>
    <row r="3674" spans="9:39" x14ac:dyDescent="0.3">
      <c r="I3674" s="12"/>
      <c r="N3674" s="12"/>
      <c r="S3674" s="12"/>
      <c r="X3674" s="12"/>
      <c r="AM3674" s="12"/>
    </row>
    <row r="3675" spans="9:39" x14ac:dyDescent="0.3">
      <c r="I3675" s="12"/>
      <c r="N3675" s="12"/>
      <c r="S3675" s="12"/>
      <c r="X3675" s="12"/>
      <c r="AM3675" s="12"/>
    </row>
    <row r="3676" spans="9:39" x14ac:dyDescent="0.3">
      <c r="I3676" s="12"/>
      <c r="N3676" s="12"/>
      <c r="S3676" s="12"/>
      <c r="X3676" s="12"/>
      <c r="AM3676" s="12"/>
    </row>
    <row r="3677" spans="9:39" x14ac:dyDescent="0.3">
      <c r="I3677" s="12"/>
      <c r="N3677" s="12"/>
      <c r="S3677" s="12"/>
      <c r="X3677" s="12"/>
      <c r="AM3677" s="12"/>
    </row>
    <row r="3678" spans="9:39" x14ac:dyDescent="0.3">
      <c r="I3678" s="12"/>
      <c r="N3678" s="12"/>
      <c r="S3678" s="12"/>
      <c r="X3678" s="12"/>
      <c r="AM3678" s="12"/>
    </row>
    <row r="3679" spans="9:39" x14ac:dyDescent="0.3">
      <c r="I3679" s="12"/>
      <c r="N3679" s="12"/>
      <c r="S3679" s="12"/>
      <c r="X3679" s="12"/>
      <c r="AM3679" s="12"/>
    </row>
    <row r="3680" spans="9:39" x14ac:dyDescent="0.3">
      <c r="I3680" s="12"/>
      <c r="N3680" s="12"/>
      <c r="S3680" s="12"/>
      <c r="X3680" s="12"/>
      <c r="AM3680" s="12"/>
    </row>
    <row r="3681" spans="9:39" x14ac:dyDescent="0.3">
      <c r="I3681" s="12"/>
      <c r="N3681" s="12"/>
      <c r="S3681" s="12"/>
      <c r="X3681" s="12"/>
      <c r="AM3681" s="12"/>
    </row>
    <row r="3682" spans="9:39" x14ac:dyDescent="0.3">
      <c r="I3682" s="12"/>
      <c r="N3682" s="12"/>
      <c r="S3682" s="12"/>
      <c r="X3682" s="12"/>
      <c r="AM3682" s="12"/>
    </row>
    <row r="3683" spans="9:39" x14ac:dyDescent="0.3">
      <c r="I3683" s="12"/>
      <c r="N3683" s="12"/>
      <c r="S3683" s="12"/>
      <c r="X3683" s="12"/>
      <c r="AM3683" s="12"/>
    </row>
    <row r="3684" spans="9:39" x14ac:dyDescent="0.3">
      <c r="I3684" s="12"/>
      <c r="N3684" s="12"/>
      <c r="S3684" s="12"/>
      <c r="X3684" s="12"/>
      <c r="AM3684" s="12"/>
    </row>
    <row r="3685" spans="9:39" x14ac:dyDescent="0.3">
      <c r="I3685" s="12"/>
      <c r="N3685" s="12"/>
      <c r="S3685" s="12"/>
      <c r="X3685" s="12"/>
      <c r="AM3685" s="12"/>
    </row>
    <row r="3686" spans="9:39" x14ac:dyDescent="0.3">
      <c r="I3686" s="12"/>
      <c r="N3686" s="12"/>
      <c r="S3686" s="12"/>
      <c r="X3686" s="12"/>
      <c r="AM3686" s="12"/>
    </row>
    <row r="3687" spans="9:39" x14ac:dyDescent="0.3">
      <c r="I3687" s="12"/>
      <c r="N3687" s="12"/>
      <c r="S3687" s="12"/>
      <c r="X3687" s="12"/>
      <c r="AM3687" s="12"/>
    </row>
    <row r="3688" spans="9:39" x14ac:dyDescent="0.3">
      <c r="I3688" s="12"/>
      <c r="N3688" s="12"/>
      <c r="S3688" s="12"/>
      <c r="X3688" s="12"/>
      <c r="AM3688" s="12"/>
    </row>
    <row r="3689" spans="9:39" x14ac:dyDescent="0.3">
      <c r="I3689" s="12"/>
      <c r="N3689" s="12"/>
      <c r="S3689" s="12"/>
      <c r="X3689" s="12"/>
      <c r="AM3689" s="12"/>
    </row>
    <row r="3690" spans="9:39" x14ac:dyDescent="0.3">
      <c r="I3690" s="12"/>
      <c r="N3690" s="12"/>
      <c r="S3690" s="12"/>
      <c r="X3690" s="12"/>
      <c r="AM3690" s="12"/>
    </row>
    <row r="3691" spans="9:39" x14ac:dyDescent="0.3">
      <c r="I3691" s="12"/>
      <c r="N3691" s="12"/>
      <c r="S3691" s="12"/>
      <c r="X3691" s="12"/>
      <c r="AM3691" s="12"/>
    </row>
    <row r="3692" spans="9:39" x14ac:dyDescent="0.3">
      <c r="I3692" s="12"/>
      <c r="N3692" s="12"/>
      <c r="S3692" s="12"/>
      <c r="X3692" s="12"/>
      <c r="AM3692" s="12"/>
    </row>
    <row r="3693" spans="9:39" x14ac:dyDescent="0.3">
      <c r="I3693" s="12"/>
      <c r="N3693" s="12"/>
      <c r="S3693" s="12"/>
      <c r="X3693" s="12"/>
      <c r="AM3693" s="12"/>
    </row>
    <row r="3694" spans="9:39" x14ac:dyDescent="0.3">
      <c r="I3694" s="12"/>
      <c r="N3694" s="12"/>
      <c r="S3694" s="12"/>
      <c r="X3694" s="12"/>
      <c r="AM3694" s="12"/>
    </row>
    <row r="3695" spans="9:39" x14ac:dyDescent="0.3">
      <c r="I3695" s="12"/>
      <c r="N3695" s="12"/>
      <c r="S3695" s="12"/>
      <c r="X3695" s="12"/>
      <c r="AM3695" s="12"/>
    </row>
    <row r="3696" spans="9:39" x14ac:dyDescent="0.3">
      <c r="I3696" s="12"/>
      <c r="N3696" s="12"/>
      <c r="S3696" s="12"/>
      <c r="X3696" s="12"/>
      <c r="AM3696" s="12"/>
    </row>
    <row r="3697" spans="9:39" x14ac:dyDescent="0.3">
      <c r="I3697" s="12"/>
      <c r="N3697" s="12"/>
      <c r="S3697" s="12"/>
      <c r="X3697" s="12"/>
      <c r="AM3697" s="12"/>
    </row>
    <row r="3698" spans="9:39" x14ac:dyDescent="0.3">
      <c r="I3698" s="12"/>
      <c r="N3698" s="12"/>
      <c r="S3698" s="12"/>
      <c r="X3698" s="12"/>
      <c r="AM3698" s="12"/>
    </row>
    <row r="3699" spans="9:39" x14ac:dyDescent="0.3">
      <c r="I3699" s="12"/>
      <c r="N3699" s="12"/>
      <c r="S3699" s="12"/>
      <c r="X3699" s="12"/>
      <c r="AM3699" s="12"/>
    </row>
    <row r="3700" spans="9:39" x14ac:dyDescent="0.3">
      <c r="I3700" s="12"/>
      <c r="N3700" s="12"/>
      <c r="S3700" s="12"/>
      <c r="X3700" s="12"/>
      <c r="AM3700" s="12"/>
    </row>
    <row r="3701" spans="9:39" x14ac:dyDescent="0.3">
      <c r="I3701" s="12"/>
      <c r="N3701" s="12"/>
      <c r="S3701" s="12"/>
      <c r="X3701" s="12"/>
      <c r="AM3701" s="12"/>
    </row>
    <row r="3702" spans="9:39" x14ac:dyDescent="0.3">
      <c r="I3702" s="12"/>
      <c r="N3702" s="12"/>
      <c r="S3702" s="12"/>
      <c r="X3702" s="12"/>
      <c r="AM3702" s="12"/>
    </row>
    <row r="3703" spans="9:39" x14ac:dyDescent="0.3">
      <c r="I3703" s="12"/>
      <c r="N3703" s="12"/>
      <c r="S3703" s="12"/>
      <c r="X3703" s="12"/>
      <c r="AM3703" s="12"/>
    </row>
    <row r="3704" spans="9:39" x14ac:dyDescent="0.3">
      <c r="I3704" s="12"/>
      <c r="N3704" s="12"/>
      <c r="S3704" s="12"/>
      <c r="X3704" s="12"/>
      <c r="AM3704" s="12"/>
    </row>
    <row r="3705" spans="9:39" x14ac:dyDescent="0.3">
      <c r="I3705" s="12"/>
      <c r="N3705" s="12"/>
      <c r="S3705" s="12"/>
      <c r="X3705" s="12"/>
      <c r="AM3705" s="12"/>
    </row>
    <row r="3706" spans="9:39" x14ac:dyDescent="0.3">
      <c r="I3706" s="12"/>
      <c r="N3706" s="12"/>
      <c r="S3706" s="12"/>
      <c r="X3706" s="12"/>
      <c r="AM3706" s="12"/>
    </row>
    <row r="3707" spans="9:39" x14ac:dyDescent="0.3">
      <c r="I3707" s="12"/>
      <c r="N3707" s="12"/>
      <c r="S3707" s="12"/>
      <c r="X3707" s="12"/>
      <c r="AM3707" s="12"/>
    </row>
    <row r="3708" spans="9:39" x14ac:dyDescent="0.3">
      <c r="I3708" s="12"/>
      <c r="N3708" s="12"/>
      <c r="S3708" s="12"/>
      <c r="X3708" s="12"/>
      <c r="AM3708" s="12"/>
    </row>
    <row r="3709" spans="9:39" x14ac:dyDescent="0.3">
      <c r="I3709" s="12"/>
      <c r="N3709" s="12"/>
      <c r="S3709" s="12"/>
      <c r="X3709" s="12"/>
      <c r="AM3709" s="12"/>
    </row>
    <row r="3710" spans="9:39" x14ac:dyDescent="0.3">
      <c r="I3710" s="12"/>
      <c r="N3710" s="12"/>
      <c r="S3710" s="12"/>
      <c r="X3710" s="12"/>
      <c r="AM3710" s="12"/>
    </row>
    <row r="3711" spans="9:39" x14ac:dyDescent="0.3">
      <c r="I3711" s="12"/>
      <c r="N3711" s="12"/>
      <c r="S3711" s="12"/>
      <c r="X3711" s="12"/>
      <c r="AM3711" s="12"/>
    </row>
    <row r="3712" spans="9:39" x14ac:dyDescent="0.3">
      <c r="I3712" s="12"/>
      <c r="N3712" s="12"/>
      <c r="S3712" s="12"/>
      <c r="X3712" s="12"/>
      <c r="AM3712" s="12"/>
    </row>
    <row r="3713" spans="9:39" x14ac:dyDescent="0.3">
      <c r="I3713" s="12"/>
      <c r="N3713" s="12"/>
      <c r="S3713" s="12"/>
      <c r="X3713" s="12"/>
      <c r="AM3713" s="12"/>
    </row>
    <row r="3714" spans="9:39" x14ac:dyDescent="0.3">
      <c r="I3714" s="12"/>
      <c r="N3714" s="12"/>
      <c r="S3714" s="12"/>
      <c r="X3714" s="12"/>
      <c r="AM3714" s="12"/>
    </row>
    <row r="3715" spans="9:39" x14ac:dyDescent="0.3">
      <c r="I3715" s="12"/>
      <c r="N3715" s="12"/>
      <c r="S3715" s="12"/>
      <c r="X3715" s="12"/>
      <c r="AM3715" s="12"/>
    </row>
    <row r="3716" spans="9:39" x14ac:dyDescent="0.3">
      <c r="I3716" s="12"/>
      <c r="N3716" s="12"/>
      <c r="S3716" s="12"/>
      <c r="X3716" s="12"/>
      <c r="AM3716" s="12"/>
    </row>
    <row r="3717" spans="9:39" x14ac:dyDescent="0.3">
      <c r="I3717" s="12"/>
      <c r="N3717" s="12"/>
      <c r="S3717" s="12"/>
      <c r="X3717" s="12"/>
      <c r="AM3717" s="12"/>
    </row>
    <row r="3718" spans="9:39" x14ac:dyDescent="0.3">
      <c r="I3718" s="12"/>
      <c r="N3718" s="12"/>
      <c r="S3718" s="12"/>
      <c r="X3718" s="12"/>
      <c r="AM3718" s="12"/>
    </row>
    <row r="3719" spans="9:39" x14ac:dyDescent="0.3">
      <c r="I3719" s="12"/>
      <c r="N3719" s="12"/>
      <c r="S3719" s="12"/>
      <c r="X3719" s="12"/>
      <c r="AM3719" s="12"/>
    </row>
    <row r="3720" spans="9:39" x14ac:dyDescent="0.3">
      <c r="I3720" s="12"/>
      <c r="N3720" s="12"/>
      <c r="S3720" s="12"/>
      <c r="X3720" s="12"/>
      <c r="AM3720" s="12"/>
    </row>
    <row r="3721" spans="9:39" x14ac:dyDescent="0.3">
      <c r="I3721" s="12"/>
      <c r="N3721" s="12"/>
      <c r="S3721" s="12"/>
      <c r="X3721" s="12"/>
      <c r="AM3721" s="12"/>
    </row>
    <row r="3722" spans="9:39" x14ac:dyDescent="0.3">
      <c r="I3722" s="12"/>
      <c r="N3722" s="12"/>
      <c r="S3722" s="12"/>
      <c r="X3722" s="12"/>
      <c r="AM3722" s="12"/>
    </row>
    <row r="3723" spans="9:39" x14ac:dyDescent="0.3">
      <c r="I3723" s="12"/>
      <c r="N3723" s="12"/>
      <c r="S3723" s="12"/>
      <c r="X3723" s="12"/>
      <c r="AM3723" s="12"/>
    </row>
    <row r="3724" spans="9:39" x14ac:dyDescent="0.3">
      <c r="I3724" s="12"/>
      <c r="N3724" s="12"/>
      <c r="S3724" s="12"/>
      <c r="X3724" s="12"/>
      <c r="AM3724" s="12"/>
    </row>
    <row r="3725" spans="9:39" x14ac:dyDescent="0.3">
      <c r="I3725" s="12"/>
      <c r="N3725" s="12"/>
      <c r="S3725" s="12"/>
      <c r="X3725" s="12"/>
      <c r="AM3725" s="12"/>
    </row>
    <row r="3726" spans="9:39" x14ac:dyDescent="0.3">
      <c r="I3726" s="12"/>
      <c r="N3726" s="12"/>
      <c r="S3726" s="12"/>
      <c r="X3726" s="12"/>
      <c r="AM3726" s="12"/>
    </row>
    <row r="3727" spans="9:39" x14ac:dyDescent="0.3">
      <c r="I3727" s="12"/>
      <c r="N3727" s="12"/>
      <c r="S3727" s="12"/>
      <c r="X3727" s="12"/>
      <c r="AM3727" s="12"/>
    </row>
    <row r="3728" spans="9:39" x14ac:dyDescent="0.3">
      <c r="I3728" s="12"/>
      <c r="N3728" s="12"/>
      <c r="S3728" s="12"/>
      <c r="X3728" s="12"/>
      <c r="AM3728" s="12"/>
    </row>
    <row r="3729" spans="9:39" x14ac:dyDescent="0.3">
      <c r="I3729" s="12"/>
      <c r="N3729" s="12"/>
      <c r="S3729" s="12"/>
      <c r="X3729" s="12"/>
      <c r="AM3729" s="12"/>
    </row>
    <row r="3730" spans="9:39" x14ac:dyDescent="0.3">
      <c r="I3730" s="12"/>
      <c r="N3730" s="12"/>
      <c r="S3730" s="12"/>
      <c r="X3730" s="12"/>
      <c r="AM3730" s="12"/>
    </row>
    <row r="3731" spans="9:39" x14ac:dyDescent="0.3">
      <c r="I3731" s="12"/>
      <c r="N3731" s="12"/>
      <c r="S3731" s="12"/>
      <c r="X3731" s="12"/>
      <c r="AM3731" s="12"/>
    </row>
    <row r="3732" spans="9:39" x14ac:dyDescent="0.3">
      <c r="I3732" s="12"/>
      <c r="N3732" s="12"/>
      <c r="S3732" s="12"/>
      <c r="X3732" s="12"/>
      <c r="AM3732" s="12"/>
    </row>
    <row r="3733" spans="9:39" x14ac:dyDescent="0.3">
      <c r="I3733" s="12"/>
      <c r="N3733" s="12"/>
      <c r="S3733" s="12"/>
      <c r="X3733" s="12"/>
      <c r="AM3733" s="12"/>
    </row>
    <row r="3734" spans="9:39" x14ac:dyDescent="0.3">
      <c r="I3734" s="12"/>
      <c r="N3734" s="12"/>
      <c r="S3734" s="12"/>
      <c r="X3734" s="12"/>
      <c r="AM3734" s="12"/>
    </row>
    <row r="3735" spans="9:39" x14ac:dyDescent="0.3">
      <c r="I3735" s="12"/>
      <c r="N3735" s="12"/>
      <c r="S3735" s="12"/>
      <c r="X3735" s="12"/>
      <c r="AM3735" s="12"/>
    </row>
    <row r="3736" spans="9:39" x14ac:dyDescent="0.3">
      <c r="I3736" s="12"/>
      <c r="N3736" s="12"/>
      <c r="S3736" s="12"/>
      <c r="X3736" s="12"/>
      <c r="AM3736" s="12"/>
    </row>
    <row r="3737" spans="9:39" x14ac:dyDescent="0.3">
      <c r="I3737" s="12"/>
      <c r="N3737" s="12"/>
      <c r="S3737" s="12"/>
      <c r="X3737" s="12"/>
      <c r="AM3737" s="12"/>
    </row>
    <row r="3738" spans="9:39" x14ac:dyDescent="0.3">
      <c r="I3738" s="12"/>
      <c r="N3738" s="12"/>
      <c r="S3738" s="12"/>
      <c r="X3738" s="12"/>
      <c r="AM3738" s="12"/>
    </row>
    <row r="3739" spans="9:39" x14ac:dyDescent="0.3">
      <c r="I3739" s="12"/>
      <c r="N3739" s="12"/>
      <c r="S3739" s="12"/>
      <c r="X3739" s="12"/>
      <c r="AM3739" s="12"/>
    </row>
    <row r="3740" spans="9:39" x14ac:dyDescent="0.3">
      <c r="I3740" s="12"/>
      <c r="N3740" s="12"/>
      <c r="S3740" s="12"/>
      <c r="X3740" s="12"/>
      <c r="AM3740" s="12"/>
    </row>
    <row r="3741" spans="9:39" x14ac:dyDescent="0.3">
      <c r="I3741" s="12"/>
      <c r="N3741" s="12"/>
      <c r="S3741" s="12"/>
      <c r="X3741" s="12"/>
      <c r="AM3741" s="12"/>
    </row>
    <row r="3742" spans="9:39" x14ac:dyDescent="0.3">
      <c r="I3742" s="12"/>
      <c r="N3742" s="12"/>
      <c r="S3742" s="12"/>
      <c r="X3742" s="12"/>
      <c r="AM3742" s="12"/>
    </row>
    <row r="3743" spans="9:39" x14ac:dyDescent="0.3">
      <c r="I3743" s="12"/>
      <c r="N3743" s="12"/>
      <c r="S3743" s="12"/>
      <c r="X3743" s="12"/>
      <c r="AM3743" s="12"/>
    </row>
    <row r="3744" spans="9:39" x14ac:dyDescent="0.3">
      <c r="I3744" s="12"/>
      <c r="N3744" s="12"/>
      <c r="S3744" s="12"/>
      <c r="X3744" s="12"/>
      <c r="AM3744" s="12"/>
    </row>
    <row r="3745" spans="9:39" x14ac:dyDescent="0.3">
      <c r="I3745" s="12"/>
      <c r="N3745" s="12"/>
      <c r="S3745" s="12"/>
      <c r="X3745" s="12"/>
      <c r="AM3745" s="12"/>
    </row>
    <row r="3746" spans="9:39" x14ac:dyDescent="0.3">
      <c r="I3746" s="12"/>
      <c r="N3746" s="12"/>
      <c r="S3746" s="12"/>
      <c r="X3746" s="12"/>
      <c r="AM3746" s="12"/>
    </row>
    <row r="3747" spans="9:39" x14ac:dyDescent="0.3">
      <c r="I3747" s="12"/>
      <c r="N3747" s="12"/>
      <c r="S3747" s="12"/>
      <c r="X3747" s="12"/>
      <c r="AM3747" s="12"/>
    </row>
    <row r="3748" spans="9:39" x14ac:dyDescent="0.3">
      <c r="I3748" s="12"/>
      <c r="N3748" s="12"/>
      <c r="S3748" s="12"/>
      <c r="X3748" s="12"/>
      <c r="AM3748" s="12"/>
    </row>
    <row r="3749" spans="9:39" x14ac:dyDescent="0.3">
      <c r="I3749" s="12"/>
      <c r="N3749" s="12"/>
      <c r="S3749" s="12"/>
      <c r="X3749" s="12"/>
      <c r="AM3749" s="12"/>
    </row>
    <row r="3750" spans="9:39" x14ac:dyDescent="0.3">
      <c r="I3750" s="12"/>
      <c r="N3750" s="12"/>
      <c r="S3750" s="12"/>
      <c r="X3750" s="12"/>
      <c r="AM3750" s="12"/>
    </row>
    <row r="3751" spans="9:39" x14ac:dyDescent="0.3">
      <c r="I3751" s="12"/>
      <c r="N3751" s="12"/>
      <c r="S3751" s="12"/>
      <c r="X3751" s="12"/>
      <c r="AM3751" s="12"/>
    </row>
    <row r="3752" spans="9:39" x14ac:dyDescent="0.3">
      <c r="I3752" s="12"/>
      <c r="N3752" s="12"/>
      <c r="S3752" s="12"/>
      <c r="X3752" s="12"/>
      <c r="AM3752" s="12"/>
    </row>
    <row r="3753" spans="9:39" x14ac:dyDescent="0.3">
      <c r="I3753" s="12"/>
      <c r="N3753" s="12"/>
      <c r="S3753" s="12"/>
      <c r="X3753" s="12"/>
      <c r="AM3753" s="12"/>
    </row>
    <row r="3754" spans="9:39" x14ac:dyDescent="0.3">
      <c r="I3754" s="12"/>
      <c r="N3754" s="12"/>
      <c r="S3754" s="12"/>
      <c r="X3754" s="12"/>
      <c r="AM3754" s="12"/>
    </row>
    <row r="3755" spans="9:39" x14ac:dyDescent="0.3">
      <c r="I3755" s="12"/>
      <c r="N3755" s="12"/>
      <c r="S3755" s="12"/>
      <c r="X3755" s="12"/>
      <c r="AM3755" s="12"/>
    </row>
    <row r="3756" spans="9:39" x14ac:dyDescent="0.3">
      <c r="I3756" s="12"/>
      <c r="N3756" s="12"/>
      <c r="S3756" s="12"/>
      <c r="X3756" s="12"/>
      <c r="AM3756" s="12"/>
    </row>
    <row r="3757" spans="9:39" x14ac:dyDescent="0.3">
      <c r="I3757" s="12"/>
      <c r="N3757" s="12"/>
      <c r="S3757" s="12"/>
      <c r="X3757" s="12"/>
      <c r="AM3757" s="12"/>
    </row>
    <row r="3758" spans="9:39" x14ac:dyDescent="0.3">
      <c r="I3758" s="12"/>
      <c r="N3758" s="12"/>
      <c r="S3758" s="12"/>
      <c r="X3758" s="12"/>
      <c r="AM3758" s="12"/>
    </row>
    <row r="3759" spans="9:39" x14ac:dyDescent="0.3">
      <c r="I3759" s="12"/>
      <c r="N3759" s="12"/>
      <c r="S3759" s="12"/>
      <c r="X3759" s="12"/>
      <c r="AM3759" s="12"/>
    </row>
    <row r="3760" spans="9:39" x14ac:dyDescent="0.3">
      <c r="I3760" s="12"/>
      <c r="N3760" s="12"/>
      <c r="S3760" s="12"/>
      <c r="X3760" s="12"/>
      <c r="AM3760" s="12"/>
    </row>
    <row r="3761" spans="9:39" x14ac:dyDescent="0.3">
      <c r="I3761" s="12"/>
      <c r="N3761" s="12"/>
      <c r="S3761" s="12"/>
      <c r="X3761" s="12"/>
      <c r="AM3761" s="12"/>
    </row>
    <row r="3762" spans="9:39" x14ac:dyDescent="0.3">
      <c r="I3762" s="12"/>
      <c r="N3762" s="12"/>
      <c r="S3762" s="12"/>
      <c r="X3762" s="12"/>
      <c r="AM3762" s="12"/>
    </row>
    <row r="3763" spans="9:39" x14ac:dyDescent="0.3">
      <c r="I3763" s="12"/>
      <c r="N3763" s="12"/>
      <c r="S3763" s="12"/>
      <c r="X3763" s="12"/>
      <c r="AM3763" s="12"/>
    </row>
    <row r="3764" spans="9:39" x14ac:dyDescent="0.3">
      <c r="I3764" s="12"/>
      <c r="N3764" s="12"/>
      <c r="S3764" s="12"/>
      <c r="X3764" s="12"/>
      <c r="AM3764" s="12"/>
    </row>
    <row r="3765" spans="9:39" x14ac:dyDescent="0.3">
      <c r="I3765" s="12"/>
      <c r="N3765" s="12"/>
      <c r="S3765" s="12"/>
      <c r="X3765" s="12"/>
      <c r="AM3765" s="12"/>
    </row>
    <row r="3766" spans="9:39" x14ac:dyDescent="0.3">
      <c r="I3766" s="12"/>
      <c r="N3766" s="12"/>
      <c r="S3766" s="12"/>
      <c r="X3766" s="12"/>
      <c r="AM3766" s="12"/>
    </row>
    <row r="3767" spans="9:39" x14ac:dyDescent="0.3">
      <c r="I3767" s="12"/>
      <c r="N3767" s="12"/>
      <c r="S3767" s="12"/>
      <c r="X3767" s="12"/>
      <c r="AM3767" s="12"/>
    </row>
    <row r="3768" spans="9:39" x14ac:dyDescent="0.3">
      <c r="I3768" s="12"/>
      <c r="N3768" s="12"/>
      <c r="S3768" s="12"/>
      <c r="X3768" s="12"/>
      <c r="AM3768" s="12"/>
    </row>
    <row r="3769" spans="9:39" x14ac:dyDescent="0.3">
      <c r="I3769" s="12"/>
      <c r="N3769" s="12"/>
      <c r="S3769" s="12"/>
      <c r="X3769" s="12"/>
      <c r="AM3769" s="12"/>
    </row>
    <row r="3770" spans="9:39" x14ac:dyDescent="0.3">
      <c r="I3770" s="12"/>
      <c r="N3770" s="12"/>
      <c r="S3770" s="12"/>
      <c r="X3770" s="12"/>
      <c r="AM3770" s="12"/>
    </row>
    <row r="3771" spans="9:39" x14ac:dyDescent="0.3">
      <c r="I3771" s="12"/>
      <c r="N3771" s="12"/>
      <c r="S3771" s="12"/>
      <c r="X3771" s="12"/>
      <c r="AM3771" s="12"/>
    </row>
    <row r="3772" spans="9:39" x14ac:dyDescent="0.3">
      <c r="I3772" s="12"/>
      <c r="N3772" s="12"/>
      <c r="S3772" s="12"/>
      <c r="X3772" s="12"/>
      <c r="AM3772" s="12"/>
    </row>
    <row r="3773" spans="9:39" x14ac:dyDescent="0.3">
      <c r="I3773" s="12"/>
      <c r="N3773" s="12"/>
      <c r="S3773" s="12"/>
      <c r="X3773" s="12"/>
      <c r="AM3773" s="12"/>
    </row>
    <row r="3774" spans="9:39" x14ac:dyDescent="0.3">
      <c r="I3774" s="12"/>
      <c r="N3774" s="12"/>
      <c r="S3774" s="12"/>
      <c r="X3774" s="12"/>
      <c r="AM3774" s="12"/>
    </row>
    <row r="3775" spans="9:39" x14ac:dyDescent="0.3">
      <c r="I3775" s="12"/>
      <c r="N3775" s="12"/>
      <c r="S3775" s="12"/>
      <c r="X3775" s="12"/>
      <c r="AM3775" s="12"/>
    </row>
    <row r="3776" spans="9:39" x14ac:dyDescent="0.3">
      <c r="I3776" s="12"/>
      <c r="N3776" s="12"/>
      <c r="S3776" s="12"/>
      <c r="X3776" s="12"/>
      <c r="AM3776" s="12"/>
    </row>
    <row r="3777" spans="9:39" x14ac:dyDescent="0.3">
      <c r="I3777" s="12"/>
      <c r="N3777" s="12"/>
      <c r="S3777" s="12"/>
      <c r="X3777" s="12"/>
      <c r="AM3777" s="12"/>
    </row>
    <row r="3778" spans="9:39" x14ac:dyDescent="0.3">
      <c r="I3778" s="12"/>
      <c r="N3778" s="12"/>
      <c r="S3778" s="12"/>
      <c r="X3778" s="12"/>
      <c r="AM3778" s="12"/>
    </row>
    <row r="3779" spans="9:39" x14ac:dyDescent="0.3">
      <c r="I3779" s="12"/>
      <c r="N3779" s="12"/>
      <c r="S3779" s="12"/>
      <c r="X3779" s="12"/>
      <c r="AM3779" s="12"/>
    </row>
    <row r="3780" spans="9:39" x14ac:dyDescent="0.3">
      <c r="I3780" s="12"/>
      <c r="N3780" s="12"/>
      <c r="S3780" s="12"/>
      <c r="X3780" s="12"/>
      <c r="AM3780" s="12"/>
    </row>
    <row r="3781" spans="9:39" x14ac:dyDescent="0.3">
      <c r="I3781" s="12"/>
      <c r="N3781" s="12"/>
      <c r="S3781" s="12"/>
      <c r="X3781" s="12"/>
      <c r="AM3781" s="12"/>
    </row>
    <row r="3782" spans="9:39" x14ac:dyDescent="0.3">
      <c r="I3782" s="12"/>
      <c r="N3782" s="12"/>
      <c r="S3782" s="12"/>
      <c r="X3782" s="12"/>
      <c r="AM3782" s="12"/>
    </row>
    <row r="3783" spans="9:39" x14ac:dyDescent="0.3">
      <c r="I3783" s="12"/>
      <c r="N3783" s="12"/>
      <c r="S3783" s="12"/>
      <c r="X3783" s="12"/>
      <c r="AM3783" s="12"/>
    </row>
    <row r="3784" spans="9:39" x14ac:dyDescent="0.3">
      <c r="I3784" s="12"/>
      <c r="N3784" s="12"/>
      <c r="S3784" s="12"/>
      <c r="X3784" s="12"/>
      <c r="AM3784" s="12"/>
    </row>
    <row r="3785" spans="9:39" x14ac:dyDescent="0.3">
      <c r="I3785" s="12"/>
      <c r="N3785" s="12"/>
      <c r="S3785" s="12"/>
      <c r="X3785" s="12"/>
      <c r="AM3785" s="12"/>
    </row>
    <row r="3786" spans="9:39" x14ac:dyDescent="0.3">
      <c r="I3786" s="12"/>
      <c r="N3786" s="12"/>
      <c r="S3786" s="12"/>
      <c r="X3786" s="12"/>
      <c r="AM3786" s="12"/>
    </row>
    <row r="3787" spans="9:39" x14ac:dyDescent="0.3">
      <c r="I3787" s="12"/>
      <c r="N3787" s="12"/>
      <c r="S3787" s="12"/>
      <c r="X3787" s="12"/>
      <c r="AM3787" s="12"/>
    </row>
    <row r="3788" spans="9:39" x14ac:dyDescent="0.3">
      <c r="I3788" s="12"/>
      <c r="N3788" s="12"/>
      <c r="S3788" s="12"/>
      <c r="X3788" s="12"/>
      <c r="AM3788" s="12"/>
    </row>
    <row r="3789" spans="9:39" x14ac:dyDescent="0.3">
      <c r="I3789" s="12"/>
      <c r="N3789" s="12"/>
      <c r="S3789" s="12"/>
      <c r="X3789" s="12"/>
      <c r="AM3789" s="12"/>
    </row>
    <row r="3790" spans="9:39" x14ac:dyDescent="0.3">
      <c r="I3790" s="12"/>
      <c r="N3790" s="12"/>
      <c r="S3790" s="12"/>
      <c r="X3790" s="12"/>
      <c r="AM3790" s="12"/>
    </row>
    <row r="3791" spans="9:39" x14ac:dyDescent="0.3">
      <c r="I3791" s="12"/>
      <c r="N3791" s="12"/>
      <c r="S3791" s="12"/>
      <c r="X3791" s="12"/>
      <c r="AM3791" s="12"/>
    </row>
    <row r="3792" spans="9:39" x14ac:dyDescent="0.3">
      <c r="I3792" s="12"/>
      <c r="N3792" s="12"/>
      <c r="S3792" s="12"/>
      <c r="X3792" s="12"/>
      <c r="AM3792" s="12"/>
    </row>
    <row r="3793" spans="9:39" x14ac:dyDescent="0.3">
      <c r="I3793" s="12"/>
      <c r="N3793" s="12"/>
      <c r="S3793" s="12"/>
      <c r="X3793" s="12"/>
      <c r="AM3793" s="12"/>
    </row>
    <row r="3794" spans="9:39" x14ac:dyDescent="0.3">
      <c r="I3794" s="12"/>
      <c r="N3794" s="12"/>
      <c r="S3794" s="12"/>
      <c r="X3794" s="12"/>
      <c r="AM3794" s="12"/>
    </row>
    <row r="3795" spans="9:39" x14ac:dyDescent="0.3">
      <c r="I3795" s="12"/>
      <c r="N3795" s="12"/>
      <c r="S3795" s="12"/>
      <c r="X3795" s="12"/>
      <c r="AM3795" s="12"/>
    </row>
    <row r="3796" spans="9:39" x14ac:dyDescent="0.3">
      <c r="I3796" s="12"/>
      <c r="N3796" s="12"/>
      <c r="S3796" s="12"/>
      <c r="X3796" s="12"/>
      <c r="AM3796" s="12"/>
    </row>
    <row r="3797" spans="9:39" x14ac:dyDescent="0.3">
      <c r="I3797" s="12"/>
      <c r="N3797" s="12"/>
      <c r="S3797" s="12"/>
      <c r="X3797" s="12"/>
      <c r="AM3797" s="12"/>
    </row>
    <row r="3798" spans="9:39" x14ac:dyDescent="0.3">
      <c r="I3798" s="12"/>
      <c r="N3798" s="12"/>
      <c r="S3798" s="12"/>
      <c r="X3798" s="12"/>
      <c r="AM3798" s="12"/>
    </row>
    <row r="3799" spans="9:39" x14ac:dyDescent="0.3">
      <c r="I3799" s="12"/>
      <c r="N3799" s="12"/>
      <c r="S3799" s="12"/>
      <c r="X3799" s="12"/>
      <c r="AM3799" s="12"/>
    </row>
    <row r="3800" spans="9:39" x14ac:dyDescent="0.3">
      <c r="I3800" s="12"/>
      <c r="N3800" s="12"/>
      <c r="S3800" s="12"/>
      <c r="X3800" s="12"/>
      <c r="AM3800" s="12"/>
    </row>
    <row r="3801" spans="9:39" x14ac:dyDescent="0.3">
      <c r="I3801" s="12"/>
      <c r="N3801" s="12"/>
      <c r="S3801" s="12"/>
      <c r="X3801" s="12"/>
      <c r="AM3801" s="12"/>
    </row>
    <row r="3802" spans="9:39" x14ac:dyDescent="0.3">
      <c r="I3802" s="12"/>
      <c r="N3802" s="12"/>
      <c r="S3802" s="12"/>
      <c r="X3802" s="12"/>
      <c r="AM3802" s="12"/>
    </row>
    <row r="3803" spans="9:39" x14ac:dyDescent="0.3">
      <c r="I3803" s="12"/>
      <c r="N3803" s="12"/>
      <c r="S3803" s="12"/>
      <c r="X3803" s="12"/>
      <c r="AM3803" s="12"/>
    </row>
    <row r="3804" spans="9:39" x14ac:dyDescent="0.3">
      <c r="I3804" s="12"/>
      <c r="N3804" s="12"/>
      <c r="S3804" s="12"/>
      <c r="X3804" s="12"/>
      <c r="AM3804" s="12"/>
    </row>
    <row r="3805" spans="9:39" x14ac:dyDescent="0.3">
      <c r="I3805" s="12"/>
      <c r="N3805" s="12"/>
      <c r="S3805" s="12"/>
      <c r="X3805" s="12"/>
      <c r="AM3805" s="12"/>
    </row>
    <row r="3806" spans="9:39" x14ac:dyDescent="0.3">
      <c r="I3806" s="12"/>
      <c r="N3806" s="12"/>
      <c r="S3806" s="12"/>
      <c r="X3806" s="12"/>
      <c r="AM3806" s="12"/>
    </row>
    <row r="3807" spans="9:39" x14ac:dyDescent="0.3">
      <c r="I3807" s="12"/>
      <c r="N3807" s="12"/>
      <c r="S3807" s="12"/>
      <c r="X3807" s="12"/>
      <c r="AM3807" s="12"/>
    </row>
    <row r="3808" spans="9:39" x14ac:dyDescent="0.3">
      <c r="I3808" s="12"/>
      <c r="N3808" s="12"/>
      <c r="S3808" s="12"/>
      <c r="X3808" s="12"/>
      <c r="AM3808" s="12"/>
    </row>
    <row r="3809" spans="9:39" x14ac:dyDescent="0.3">
      <c r="I3809" s="12"/>
      <c r="N3809" s="12"/>
      <c r="S3809" s="12"/>
      <c r="X3809" s="12"/>
      <c r="AM3809" s="12"/>
    </row>
    <row r="3810" spans="9:39" x14ac:dyDescent="0.3">
      <c r="I3810" s="12"/>
      <c r="N3810" s="12"/>
      <c r="S3810" s="12"/>
      <c r="X3810" s="12"/>
      <c r="AM3810" s="12"/>
    </row>
    <row r="3811" spans="9:39" x14ac:dyDescent="0.3">
      <c r="I3811" s="12"/>
      <c r="N3811" s="12"/>
      <c r="S3811" s="12"/>
      <c r="X3811" s="12"/>
      <c r="AM3811" s="12"/>
    </row>
    <row r="3812" spans="9:39" x14ac:dyDescent="0.3">
      <c r="I3812" s="12"/>
      <c r="N3812" s="12"/>
      <c r="S3812" s="12"/>
      <c r="X3812" s="12"/>
      <c r="AM3812" s="12"/>
    </row>
    <row r="3813" spans="9:39" x14ac:dyDescent="0.3">
      <c r="I3813" s="12"/>
      <c r="N3813" s="12"/>
      <c r="S3813" s="12"/>
      <c r="X3813" s="12"/>
      <c r="AM3813" s="12"/>
    </row>
    <row r="3814" spans="9:39" x14ac:dyDescent="0.3">
      <c r="I3814" s="12"/>
      <c r="N3814" s="12"/>
      <c r="S3814" s="12"/>
      <c r="X3814" s="12"/>
      <c r="AM3814" s="12"/>
    </row>
    <row r="3815" spans="9:39" x14ac:dyDescent="0.3">
      <c r="I3815" s="12"/>
      <c r="N3815" s="12"/>
      <c r="S3815" s="12"/>
      <c r="X3815" s="12"/>
      <c r="AM3815" s="12"/>
    </row>
    <row r="3816" spans="9:39" x14ac:dyDescent="0.3">
      <c r="I3816" s="12"/>
      <c r="N3816" s="12"/>
      <c r="S3816" s="12"/>
      <c r="X3816" s="12"/>
      <c r="AM3816" s="12"/>
    </row>
    <row r="3817" spans="9:39" x14ac:dyDescent="0.3">
      <c r="I3817" s="12"/>
      <c r="N3817" s="12"/>
      <c r="S3817" s="12"/>
      <c r="X3817" s="12"/>
      <c r="AM3817" s="12"/>
    </row>
    <row r="3818" spans="9:39" x14ac:dyDescent="0.3">
      <c r="I3818" s="12"/>
      <c r="N3818" s="12"/>
      <c r="S3818" s="12"/>
      <c r="X3818" s="12"/>
      <c r="AM3818" s="12"/>
    </row>
    <row r="3819" spans="9:39" x14ac:dyDescent="0.3">
      <c r="I3819" s="12"/>
      <c r="N3819" s="12"/>
      <c r="S3819" s="12"/>
      <c r="X3819" s="12"/>
      <c r="AM3819" s="12"/>
    </row>
    <row r="3820" spans="9:39" x14ac:dyDescent="0.3">
      <c r="I3820" s="12"/>
      <c r="N3820" s="12"/>
      <c r="S3820" s="12"/>
      <c r="X3820" s="12"/>
      <c r="AM3820" s="12"/>
    </row>
    <row r="3821" spans="9:39" x14ac:dyDescent="0.3">
      <c r="I3821" s="12"/>
      <c r="N3821" s="12"/>
      <c r="S3821" s="12"/>
      <c r="X3821" s="12"/>
      <c r="AM3821" s="12"/>
    </row>
    <row r="3822" spans="9:39" x14ac:dyDescent="0.3">
      <c r="I3822" s="12"/>
      <c r="N3822" s="12"/>
      <c r="S3822" s="12"/>
      <c r="X3822" s="12"/>
      <c r="AM3822" s="12"/>
    </row>
    <row r="3823" spans="9:39" x14ac:dyDescent="0.3">
      <c r="I3823" s="12"/>
      <c r="N3823" s="12"/>
      <c r="S3823" s="12"/>
      <c r="X3823" s="12"/>
      <c r="AM3823" s="12"/>
    </row>
    <row r="3824" spans="9:39" x14ac:dyDescent="0.3">
      <c r="I3824" s="12"/>
      <c r="N3824" s="12"/>
      <c r="S3824" s="12"/>
      <c r="X3824" s="12"/>
      <c r="AM3824" s="12"/>
    </row>
    <row r="3825" spans="9:39" x14ac:dyDescent="0.3">
      <c r="I3825" s="12"/>
      <c r="N3825" s="12"/>
      <c r="S3825" s="12"/>
      <c r="X3825" s="12"/>
      <c r="AM3825" s="12"/>
    </row>
    <row r="3826" spans="9:39" x14ac:dyDescent="0.3">
      <c r="I3826" s="12"/>
      <c r="N3826" s="12"/>
      <c r="S3826" s="12"/>
      <c r="X3826" s="12"/>
      <c r="AM3826" s="12"/>
    </row>
    <row r="3827" spans="9:39" x14ac:dyDescent="0.3">
      <c r="I3827" s="12"/>
      <c r="N3827" s="12"/>
      <c r="S3827" s="12"/>
      <c r="X3827" s="12"/>
      <c r="AM3827" s="12"/>
    </row>
    <row r="3828" spans="9:39" x14ac:dyDescent="0.3">
      <c r="I3828" s="12"/>
      <c r="N3828" s="12"/>
      <c r="S3828" s="12"/>
      <c r="X3828" s="12"/>
      <c r="AM3828" s="12"/>
    </row>
    <row r="3829" spans="9:39" x14ac:dyDescent="0.3">
      <c r="I3829" s="12"/>
      <c r="N3829" s="12"/>
      <c r="S3829" s="12"/>
      <c r="X3829" s="12"/>
      <c r="AM3829" s="12"/>
    </row>
    <row r="3830" spans="9:39" x14ac:dyDescent="0.3">
      <c r="I3830" s="12"/>
      <c r="N3830" s="12"/>
      <c r="S3830" s="12"/>
      <c r="X3830" s="12"/>
      <c r="AM3830" s="12"/>
    </row>
    <row r="3831" spans="9:39" x14ac:dyDescent="0.3">
      <c r="I3831" s="12"/>
      <c r="N3831" s="12"/>
      <c r="S3831" s="12"/>
      <c r="X3831" s="12"/>
      <c r="AM3831" s="12"/>
    </row>
    <row r="3832" spans="9:39" x14ac:dyDescent="0.3">
      <c r="I3832" s="12"/>
      <c r="N3832" s="12"/>
      <c r="S3832" s="12"/>
      <c r="X3832" s="12"/>
      <c r="AM3832" s="12"/>
    </row>
    <row r="3833" spans="9:39" x14ac:dyDescent="0.3">
      <c r="I3833" s="12"/>
      <c r="N3833" s="12"/>
      <c r="S3833" s="12"/>
      <c r="X3833" s="12"/>
      <c r="AM3833" s="12"/>
    </row>
    <row r="3834" spans="9:39" x14ac:dyDescent="0.3">
      <c r="I3834" s="12"/>
      <c r="N3834" s="12"/>
      <c r="S3834" s="12"/>
      <c r="X3834" s="12"/>
      <c r="AM3834" s="12"/>
    </row>
    <row r="3835" spans="9:39" x14ac:dyDescent="0.3">
      <c r="I3835" s="12"/>
      <c r="N3835" s="12"/>
      <c r="S3835" s="12"/>
      <c r="X3835" s="12"/>
      <c r="AM3835" s="12"/>
    </row>
    <row r="3836" spans="9:39" x14ac:dyDescent="0.3">
      <c r="I3836" s="12"/>
      <c r="N3836" s="12"/>
      <c r="S3836" s="12"/>
      <c r="X3836" s="12"/>
      <c r="AM3836" s="12"/>
    </row>
    <row r="3837" spans="9:39" x14ac:dyDescent="0.3">
      <c r="I3837" s="12"/>
      <c r="N3837" s="12"/>
      <c r="S3837" s="12"/>
      <c r="X3837" s="12"/>
      <c r="AM3837" s="12"/>
    </row>
    <row r="3838" spans="9:39" x14ac:dyDescent="0.3">
      <c r="I3838" s="12"/>
      <c r="N3838" s="12"/>
      <c r="S3838" s="12"/>
      <c r="X3838" s="12"/>
      <c r="AM3838" s="12"/>
    </row>
    <row r="3839" spans="9:39" x14ac:dyDescent="0.3">
      <c r="I3839" s="12"/>
      <c r="N3839" s="12"/>
      <c r="S3839" s="12"/>
      <c r="X3839" s="12"/>
      <c r="AM3839" s="12"/>
    </row>
    <row r="3840" spans="9:39" x14ac:dyDescent="0.3">
      <c r="I3840" s="12"/>
      <c r="N3840" s="12"/>
      <c r="S3840" s="12"/>
      <c r="X3840" s="12"/>
      <c r="AM3840" s="12"/>
    </row>
    <row r="3841" spans="9:39" x14ac:dyDescent="0.3">
      <c r="I3841" s="12"/>
      <c r="N3841" s="12"/>
      <c r="S3841" s="12"/>
      <c r="X3841" s="12"/>
      <c r="AM3841" s="12"/>
    </row>
    <row r="3842" spans="9:39" x14ac:dyDescent="0.3">
      <c r="I3842" s="12"/>
      <c r="N3842" s="12"/>
      <c r="S3842" s="12"/>
      <c r="X3842" s="12"/>
      <c r="AM3842" s="12"/>
    </row>
    <row r="3843" spans="9:39" x14ac:dyDescent="0.3">
      <c r="I3843" s="12"/>
      <c r="N3843" s="12"/>
      <c r="S3843" s="12"/>
      <c r="X3843" s="12"/>
      <c r="AM3843" s="12"/>
    </row>
    <row r="3844" spans="9:39" x14ac:dyDescent="0.3">
      <c r="I3844" s="12"/>
      <c r="N3844" s="12"/>
      <c r="S3844" s="12"/>
      <c r="X3844" s="12"/>
      <c r="AM3844" s="12"/>
    </row>
    <row r="3845" spans="9:39" x14ac:dyDescent="0.3">
      <c r="I3845" s="12"/>
      <c r="N3845" s="12"/>
      <c r="S3845" s="12"/>
      <c r="X3845" s="12"/>
      <c r="AM3845" s="12"/>
    </row>
    <row r="3846" spans="9:39" x14ac:dyDescent="0.3">
      <c r="I3846" s="12"/>
      <c r="N3846" s="12"/>
      <c r="S3846" s="12"/>
      <c r="X3846" s="12"/>
      <c r="AM3846" s="12"/>
    </row>
    <row r="3847" spans="9:39" x14ac:dyDescent="0.3">
      <c r="I3847" s="12"/>
      <c r="N3847" s="12"/>
      <c r="S3847" s="12"/>
      <c r="X3847" s="12"/>
      <c r="AM3847" s="12"/>
    </row>
    <row r="3848" spans="9:39" x14ac:dyDescent="0.3">
      <c r="I3848" s="12"/>
      <c r="N3848" s="12"/>
      <c r="S3848" s="12"/>
      <c r="X3848" s="12"/>
      <c r="AM3848" s="12"/>
    </row>
    <row r="3849" spans="9:39" x14ac:dyDescent="0.3">
      <c r="I3849" s="12"/>
      <c r="N3849" s="12"/>
      <c r="S3849" s="12"/>
      <c r="X3849" s="12"/>
      <c r="AM3849" s="12"/>
    </row>
    <row r="3850" spans="9:39" x14ac:dyDescent="0.3">
      <c r="I3850" s="12"/>
      <c r="N3850" s="12"/>
      <c r="S3850" s="12"/>
      <c r="X3850" s="12"/>
      <c r="AM3850" s="12"/>
    </row>
    <row r="3851" spans="9:39" x14ac:dyDescent="0.3">
      <c r="I3851" s="12"/>
      <c r="N3851" s="12"/>
      <c r="S3851" s="12"/>
      <c r="X3851" s="12"/>
      <c r="AM3851" s="12"/>
    </row>
    <row r="3852" spans="9:39" x14ac:dyDescent="0.3">
      <c r="I3852" s="12"/>
      <c r="N3852" s="12"/>
      <c r="S3852" s="12"/>
      <c r="X3852" s="12"/>
      <c r="AM3852" s="12"/>
    </row>
    <row r="3853" spans="9:39" x14ac:dyDescent="0.3">
      <c r="I3853" s="12"/>
      <c r="N3853" s="12"/>
      <c r="S3853" s="12"/>
      <c r="X3853" s="12"/>
      <c r="AM3853" s="12"/>
    </row>
    <row r="3854" spans="9:39" x14ac:dyDescent="0.3">
      <c r="I3854" s="12"/>
      <c r="N3854" s="12"/>
      <c r="S3854" s="12"/>
      <c r="X3854" s="12"/>
      <c r="AM3854" s="12"/>
    </row>
    <row r="3855" spans="9:39" x14ac:dyDescent="0.3">
      <c r="I3855" s="12"/>
      <c r="N3855" s="12"/>
      <c r="S3855" s="12"/>
      <c r="X3855" s="12"/>
      <c r="AM3855" s="12"/>
    </row>
    <row r="3856" spans="9:39" x14ac:dyDescent="0.3">
      <c r="I3856" s="12"/>
      <c r="N3856" s="12"/>
      <c r="S3856" s="12"/>
      <c r="X3856" s="12"/>
      <c r="AM3856" s="12"/>
    </row>
    <row r="3857" spans="9:39" x14ac:dyDescent="0.3">
      <c r="I3857" s="12"/>
      <c r="N3857" s="12"/>
      <c r="S3857" s="12"/>
      <c r="X3857" s="12"/>
      <c r="AM3857" s="12"/>
    </row>
    <row r="3858" spans="9:39" x14ac:dyDescent="0.3">
      <c r="I3858" s="12"/>
      <c r="N3858" s="12"/>
      <c r="S3858" s="12"/>
      <c r="X3858" s="12"/>
      <c r="AM3858" s="12"/>
    </row>
    <row r="3859" spans="9:39" x14ac:dyDescent="0.3">
      <c r="I3859" s="12"/>
      <c r="N3859" s="12"/>
      <c r="S3859" s="12"/>
      <c r="X3859" s="12"/>
      <c r="AM3859" s="12"/>
    </row>
    <row r="3860" spans="9:39" x14ac:dyDescent="0.3">
      <c r="I3860" s="12"/>
      <c r="N3860" s="12"/>
      <c r="S3860" s="12"/>
      <c r="X3860" s="12"/>
      <c r="AM3860" s="12"/>
    </row>
    <row r="3861" spans="9:39" x14ac:dyDescent="0.3">
      <c r="I3861" s="12"/>
      <c r="N3861" s="12"/>
      <c r="S3861" s="12"/>
      <c r="X3861" s="12"/>
      <c r="AM3861" s="12"/>
    </row>
    <row r="3862" spans="9:39" x14ac:dyDescent="0.3">
      <c r="I3862" s="12"/>
      <c r="N3862" s="12"/>
      <c r="S3862" s="12"/>
      <c r="X3862" s="12"/>
      <c r="AM3862" s="12"/>
    </row>
    <row r="3863" spans="9:39" x14ac:dyDescent="0.3">
      <c r="I3863" s="12"/>
      <c r="N3863" s="12"/>
      <c r="S3863" s="12"/>
      <c r="X3863" s="12"/>
      <c r="AM3863" s="12"/>
    </row>
    <row r="3864" spans="9:39" x14ac:dyDescent="0.3">
      <c r="I3864" s="12"/>
      <c r="N3864" s="12"/>
      <c r="S3864" s="12"/>
      <c r="X3864" s="12"/>
      <c r="AM3864" s="12"/>
    </row>
    <row r="3865" spans="9:39" x14ac:dyDescent="0.3">
      <c r="I3865" s="12"/>
      <c r="N3865" s="12"/>
      <c r="S3865" s="12"/>
      <c r="X3865" s="12"/>
      <c r="AM3865" s="12"/>
    </row>
    <row r="3866" spans="9:39" x14ac:dyDescent="0.3">
      <c r="I3866" s="12"/>
      <c r="N3866" s="12"/>
      <c r="S3866" s="12"/>
      <c r="X3866" s="12"/>
      <c r="AM3866" s="12"/>
    </row>
    <row r="3867" spans="9:39" x14ac:dyDescent="0.3">
      <c r="I3867" s="12"/>
      <c r="N3867" s="12"/>
      <c r="S3867" s="12"/>
      <c r="X3867" s="12"/>
      <c r="AM3867" s="12"/>
    </row>
    <row r="3868" spans="9:39" x14ac:dyDescent="0.3">
      <c r="I3868" s="12"/>
      <c r="N3868" s="12"/>
      <c r="S3868" s="12"/>
      <c r="X3868" s="12"/>
      <c r="AM3868" s="12"/>
    </row>
    <row r="3869" spans="9:39" x14ac:dyDescent="0.3">
      <c r="I3869" s="12"/>
      <c r="N3869" s="12"/>
      <c r="S3869" s="12"/>
      <c r="X3869" s="12"/>
      <c r="AM3869" s="12"/>
    </row>
    <row r="3870" spans="9:39" x14ac:dyDescent="0.3">
      <c r="I3870" s="12"/>
      <c r="N3870" s="12"/>
      <c r="S3870" s="12"/>
      <c r="X3870" s="12"/>
      <c r="AM3870" s="12"/>
    </row>
    <row r="3871" spans="9:39" x14ac:dyDescent="0.3">
      <c r="I3871" s="12"/>
      <c r="N3871" s="12"/>
      <c r="S3871" s="12"/>
      <c r="X3871" s="12"/>
      <c r="AM3871" s="12"/>
    </row>
    <row r="3872" spans="9:39" x14ac:dyDescent="0.3">
      <c r="I3872" s="12"/>
      <c r="N3872" s="12"/>
      <c r="S3872" s="12"/>
      <c r="X3872" s="12"/>
      <c r="AM3872" s="12"/>
    </row>
    <row r="3873" spans="9:39" x14ac:dyDescent="0.3">
      <c r="I3873" s="12"/>
      <c r="N3873" s="12"/>
      <c r="S3873" s="12"/>
      <c r="X3873" s="12"/>
      <c r="AM3873" s="12"/>
    </row>
    <row r="3874" spans="9:39" x14ac:dyDescent="0.3">
      <c r="I3874" s="12"/>
      <c r="N3874" s="12"/>
      <c r="S3874" s="12"/>
      <c r="X3874" s="12"/>
      <c r="AM3874" s="12"/>
    </row>
    <row r="3875" spans="9:39" x14ac:dyDescent="0.3">
      <c r="I3875" s="12"/>
      <c r="N3875" s="12"/>
      <c r="S3875" s="12"/>
      <c r="X3875" s="12"/>
      <c r="AM3875" s="12"/>
    </row>
    <row r="3876" spans="9:39" x14ac:dyDescent="0.3">
      <c r="I3876" s="12"/>
      <c r="N3876" s="12"/>
      <c r="S3876" s="12"/>
      <c r="X3876" s="12"/>
      <c r="AM3876" s="12"/>
    </row>
    <row r="3877" spans="9:39" x14ac:dyDescent="0.3">
      <c r="I3877" s="12"/>
      <c r="N3877" s="12"/>
      <c r="S3877" s="12"/>
      <c r="X3877" s="12"/>
      <c r="AM3877" s="12"/>
    </row>
    <row r="3878" spans="9:39" x14ac:dyDescent="0.3">
      <c r="I3878" s="12"/>
      <c r="N3878" s="12"/>
      <c r="S3878" s="12"/>
      <c r="X3878" s="12"/>
      <c r="AM3878" s="12"/>
    </row>
    <row r="3879" spans="9:39" x14ac:dyDescent="0.3">
      <c r="I3879" s="12"/>
      <c r="N3879" s="12"/>
      <c r="S3879" s="12"/>
      <c r="X3879" s="12"/>
      <c r="AM3879" s="12"/>
    </row>
    <row r="3880" spans="9:39" x14ac:dyDescent="0.3">
      <c r="I3880" s="12"/>
      <c r="N3880" s="12"/>
      <c r="S3880" s="12"/>
      <c r="X3880" s="12"/>
      <c r="AM3880" s="12"/>
    </row>
    <row r="3881" spans="9:39" x14ac:dyDescent="0.3">
      <c r="I3881" s="12"/>
      <c r="N3881" s="12"/>
      <c r="S3881" s="12"/>
      <c r="X3881" s="12"/>
      <c r="AM3881" s="12"/>
    </row>
    <row r="3882" spans="9:39" x14ac:dyDescent="0.3">
      <c r="I3882" s="12"/>
      <c r="N3882" s="12"/>
      <c r="S3882" s="12"/>
      <c r="X3882" s="12"/>
      <c r="AM3882" s="12"/>
    </row>
    <row r="3883" spans="9:39" x14ac:dyDescent="0.3">
      <c r="I3883" s="12"/>
      <c r="N3883" s="12"/>
      <c r="S3883" s="12"/>
      <c r="X3883" s="12"/>
      <c r="AM3883" s="12"/>
    </row>
    <row r="3884" spans="9:39" x14ac:dyDescent="0.3">
      <c r="I3884" s="12"/>
      <c r="N3884" s="12"/>
      <c r="S3884" s="12"/>
      <c r="X3884" s="12"/>
      <c r="AM3884" s="12"/>
    </row>
    <row r="3885" spans="9:39" x14ac:dyDescent="0.3">
      <c r="I3885" s="12"/>
      <c r="N3885" s="12"/>
      <c r="S3885" s="12"/>
      <c r="X3885" s="12"/>
      <c r="AM3885" s="12"/>
    </row>
    <row r="3886" spans="9:39" x14ac:dyDescent="0.3">
      <c r="I3886" s="12"/>
      <c r="N3886" s="12"/>
      <c r="S3886" s="12"/>
      <c r="X3886" s="12"/>
      <c r="AM3886" s="12"/>
    </row>
    <row r="3887" spans="9:39" x14ac:dyDescent="0.3">
      <c r="I3887" s="12"/>
      <c r="N3887" s="12"/>
      <c r="S3887" s="12"/>
      <c r="X3887" s="12"/>
      <c r="AM3887" s="12"/>
    </row>
    <row r="3888" spans="9:39" x14ac:dyDescent="0.3">
      <c r="I3888" s="12"/>
      <c r="N3888" s="12"/>
      <c r="S3888" s="12"/>
      <c r="X3888" s="12"/>
      <c r="AM3888" s="12"/>
    </row>
    <row r="3889" spans="9:39" x14ac:dyDescent="0.3">
      <c r="I3889" s="12"/>
      <c r="N3889" s="12"/>
      <c r="S3889" s="12"/>
      <c r="X3889" s="12"/>
      <c r="AM3889" s="12"/>
    </row>
    <row r="3890" spans="9:39" x14ac:dyDescent="0.3">
      <c r="I3890" s="12"/>
      <c r="N3890" s="12"/>
      <c r="S3890" s="12"/>
      <c r="X3890" s="12"/>
      <c r="AM3890" s="12"/>
    </row>
    <row r="3891" spans="9:39" x14ac:dyDescent="0.3">
      <c r="I3891" s="12"/>
      <c r="N3891" s="12"/>
      <c r="S3891" s="12"/>
      <c r="X3891" s="12"/>
      <c r="AM3891" s="12"/>
    </row>
    <row r="3892" spans="9:39" x14ac:dyDescent="0.3">
      <c r="I3892" s="12"/>
      <c r="N3892" s="12"/>
      <c r="S3892" s="12"/>
      <c r="X3892" s="12"/>
      <c r="AM3892" s="12"/>
    </row>
    <row r="3893" spans="9:39" x14ac:dyDescent="0.3">
      <c r="I3893" s="12"/>
      <c r="N3893" s="12"/>
      <c r="S3893" s="12"/>
      <c r="X3893" s="12"/>
      <c r="AM3893" s="12"/>
    </row>
    <row r="3894" spans="9:39" x14ac:dyDescent="0.3">
      <c r="I3894" s="12"/>
      <c r="N3894" s="12"/>
      <c r="S3894" s="12"/>
      <c r="X3894" s="12"/>
      <c r="AM3894" s="12"/>
    </row>
    <row r="3895" spans="9:39" x14ac:dyDescent="0.3">
      <c r="I3895" s="12"/>
      <c r="N3895" s="12"/>
      <c r="S3895" s="12"/>
      <c r="X3895" s="12"/>
      <c r="AM3895" s="12"/>
    </row>
    <row r="3896" spans="9:39" x14ac:dyDescent="0.3">
      <c r="I3896" s="12"/>
      <c r="N3896" s="12"/>
      <c r="S3896" s="12"/>
      <c r="X3896" s="12"/>
      <c r="AM3896" s="12"/>
    </row>
    <row r="3897" spans="9:39" x14ac:dyDescent="0.3">
      <c r="I3897" s="12"/>
      <c r="N3897" s="12"/>
      <c r="S3897" s="12"/>
      <c r="X3897" s="12"/>
      <c r="AM3897" s="12"/>
    </row>
    <row r="3898" spans="9:39" x14ac:dyDescent="0.3">
      <c r="I3898" s="12"/>
      <c r="N3898" s="12"/>
      <c r="S3898" s="12"/>
      <c r="X3898" s="12"/>
      <c r="AM3898" s="12"/>
    </row>
    <row r="3899" spans="9:39" x14ac:dyDescent="0.3">
      <c r="I3899" s="12"/>
      <c r="N3899" s="12"/>
      <c r="S3899" s="12"/>
      <c r="X3899" s="12"/>
      <c r="AM3899" s="12"/>
    </row>
    <row r="3900" spans="9:39" x14ac:dyDescent="0.3">
      <c r="I3900" s="12"/>
      <c r="N3900" s="12"/>
      <c r="S3900" s="12"/>
      <c r="X3900" s="12"/>
      <c r="AM3900" s="12"/>
    </row>
    <row r="3901" spans="9:39" x14ac:dyDescent="0.3">
      <c r="I3901" s="12"/>
      <c r="N3901" s="12"/>
      <c r="S3901" s="12"/>
      <c r="X3901" s="12"/>
      <c r="AM3901" s="12"/>
    </row>
    <row r="3902" spans="9:39" x14ac:dyDescent="0.3">
      <c r="I3902" s="12"/>
      <c r="N3902" s="12"/>
      <c r="S3902" s="12"/>
      <c r="X3902" s="12"/>
      <c r="AM3902" s="12"/>
    </row>
    <row r="3903" spans="9:39" x14ac:dyDescent="0.3">
      <c r="I3903" s="12"/>
      <c r="N3903" s="12"/>
      <c r="S3903" s="12"/>
      <c r="X3903" s="12"/>
      <c r="AM3903" s="12"/>
    </row>
    <row r="3904" spans="9:39" x14ac:dyDescent="0.3">
      <c r="I3904" s="12"/>
      <c r="N3904" s="12"/>
      <c r="S3904" s="12"/>
      <c r="X3904" s="12"/>
      <c r="AM3904" s="12"/>
    </row>
    <row r="3905" spans="9:39" x14ac:dyDescent="0.3">
      <c r="I3905" s="12"/>
      <c r="N3905" s="12"/>
      <c r="S3905" s="12"/>
      <c r="X3905" s="12"/>
      <c r="AM3905" s="12"/>
    </row>
    <row r="3906" spans="9:39" x14ac:dyDescent="0.3">
      <c r="I3906" s="12"/>
      <c r="N3906" s="12"/>
      <c r="S3906" s="12"/>
      <c r="X3906" s="12"/>
      <c r="AM3906" s="12"/>
    </row>
    <row r="3907" spans="9:39" x14ac:dyDescent="0.3">
      <c r="I3907" s="12"/>
      <c r="N3907" s="12"/>
      <c r="S3907" s="12"/>
      <c r="X3907" s="12"/>
      <c r="AM3907" s="12"/>
    </row>
    <row r="3908" spans="9:39" x14ac:dyDescent="0.3">
      <c r="I3908" s="12"/>
      <c r="N3908" s="12"/>
      <c r="S3908" s="12"/>
      <c r="X3908" s="12"/>
      <c r="AM3908" s="12"/>
    </row>
    <row r="3909" spans="9:39" x14ac:dyDescent="0.3">
      <c r="I3909" s="12"/>
      <c r="N3909" s="12"/>
      <c r="S3909" s="12"/>
      <c r="X3909" s="12"/>
      <c r="AM3909" s="12"/>
    </row>
    <row r="3910" spans="9:39" x14ac:dyDescent="0.3">
      <c r="I3910" s="12"/>
      <c r="N3910" s="12"/>
      <c r="S3910" s="12"/>
      <c r="X3910" s="12"/>
      <c r="AM3910" s="12"/>
    </row>
    <row r="3911" spans="9:39" x14ac:dyDescent="0.3">
      <c r="I3911" s="12"/>
      <c r="N3911" s="12"/>
      <c r="S3911" s="12"/>
      <c r="X3911" s="12"/>
      <c r="AM3911" s="12"/>
    </row>
    <row r="3912" spans="9:39" x14ac:dyDescent="0.3">
      <c r="I3912" s="12"/>
      <c r="N3912" s="12"/>
      <c r="S3912" s="12"/>
      <c r="X3912" s="12"/>
      <c r="AM3912" s="12"/>
    </row>
    <row r="3913" spans="9:39" x14ac:dyDescent="0.3">
      <c r="I3913" s="12"/>
      <c r="N3913" s="12"/>
      <c r="S3913" s="12"/>
      <c r="X3913" s="12"/>
      <c r="AM3913" s="12"/>
    </row>
    <row r="3914" spans="9:39" x14ac:dyDescent="0.3">
      <c r="I3914" s="12"/>
      <c r="N3914" s="12"/>
      <c r="S3914" s="12"/>
      <c r="X3914" s="12"/>
      <c r="AM3914" s="12"/>
    </row>
    <row r="3915" spans="9:39" x14ac:dyDescent="0.3">
      <c r="I3915" s="12"/>
      <c r="N3915" s="12"/>
      <c r="S3915" s="12"/>
      <c r="X3915" s="12"/>
      <c r="AM3915" s="12"/>
    </row>
    <row r="3916" spans="9:39" x14ac:dyDescent="0.3">
      <c r="I3916" s="12"/>
      <c r="N3916" s="12"/>
      <c r="S3916" s="12"/>
      <c r="X3916" s="12"/>
      <c r="AM3916" s="12"/>
    </row>
    <row r="3917" spans="9:39" x14ac:dyDescent="0.3">
      <c r="I3917" s="12"/>
      <c r="N3917" s="12"/>
      <c r="S3917" s="12"/>
      <c r="X3917" s="12"/>
      <c r="AM3917" s="12"/>
    </row>
    <row r="3918" spans="9:39" x14ac:dyDescent="0.3">
      <c r="I3918" s="12"/>
      <c r="N3918" s="12"/>
      <c r="S3918" s="12"/>
      <c r="X3918" s="12"/>
      <c r="AM3918" s="12"/>
    </row>
    <row r="3919" spans="9:39" x14ac:dyDescent="0.3">
      <c r="I3919" s="12"/>
      <c r="N3919" s="12"/>
      <c r="S3919" s="12"/>
      <c r="X3919" s="12"/>
      <c r="AM3919" s="12"/>
    </row>
    <row r="3920" spans="9:39" x14ac:dyDescent="0.3">
      <c r="I3920" s="12"/>
      <c r="N3920" s="12"/>
      <c r="S3920" s="12"/>
      <c r="X3920" s="12"/>
      <c r="AM3920" s="12"/>
    </row>
    <row r="3921" spans="9:39" x14ac:dyDescent="0.3">
      <c r="I3921" s="12"/>
      <c r="N3921" s="12"/>
      <c r="S3921" s="12"/>
      <c r="X3921" s="12"/>
      <c r="AM3921" s="12"/>
    </row>
    <row r="3922" spans="9:39" x14ac:dyDescent="0.3">
      <c r="I3922" s="12"/>
      <c r="N3922" s="12"/>
      <c r="S3922" s="12"/>
      <c r="X3922" s="12"/>
      <c r="AM3922" s="12"/>
    </row>
    <row r="3923" spans="9:39" x14ac:dyDescent="0.3">
      <c r="I3923" s="12"/>
      <c r="N3923" s="12"/>
      <c r="S3923" s="12"/>
      <c r="X3923" s="12"/>
      <c r="AM3923" s="12"/>
    </row>
    <row r="3924" spans="9:39" x14ac:dyDescent="0.3">
      <c r="I3924" s="12"/>
      <c r="N3924" s="12"/>
      <c r="S3924" s="12"/>
      <c r="X3924" s="12"/>
      <c r="AM3924" s="12"/>
    </row>
    <row r="3925" spans="9:39" x14ac:dyDescent="0.3">
      <c r="I3925" s="12"/>
      <c r="N3925" s="12"/>
      <c r="S3925" s="12"/>
      <c r="X3925" s="12"/>
      <c r="AM3925" s="12"/>
    </row>
    <row r="3926" spans="9:39" x14ac:dyDescent="0.3">
      <c r="I3926" s="12"/>
      <c r="N3926" s="12"/>
      <c r="S3926" s="12"/>
      <c r="X3926" s="12"/>
      <c r="AM3926" s="12"/>
    </row>
    <row r="3927" spans="9:39" x14ac:dyDescent="0.3">
      <c r="I3927" s="12"/>
      <c r="N3927" s="12"/>
      <c r="S3927" s="12"/>
      <c r="X3927" s="12"/>
      <c r="AM3927" s="12"/>
    </row>
    <row r="3928" spans="9:39" x14ac:dyDescent="0.3">
      <c r="I3928" s="12"/>
      <c r="N3928" s="12"/>
      <c r="S3928" s="12"/>
      <c r="X3928" s="12"/>
      <c r="AM3928" s="12"/>
    </row>
    <row r="3929" spans="9:39" x14ac:dyDescent="0.3">
      <c r="I3929" s="12"/>
      <c r="N3929" s="12"/>
      <c r="S3929" s="12"/>
      <c r="X3929" s="12"/>
      <c r="AM3929" s="12"/>
    </row>
    <row r="3930" spans="9:39" x14ac:dyDescent="0.3">
      <c r="I3930" s="12"/>
      <c r="N3930" s="12"/>
      <c r="S3930" s="12"/>
      <c r="X3930" s="12"/>
      <c r="AM3930" s="12"/>
    </row>
    <row r="3931" spans="9:39" x14ac:dyDescent="0.3">
      <c r="I3931" s="12"/>
      <c r="N3931" s="12"/>
      <c r="S3931" s="12"/>
      <c r="X3931" s="12"/>
      <c r="AM3931" s="12"/>
    </row>
    <row r="3932" spans="9:39" x14ac:dyDescent="0.3">
      <c r="I3932" s="12"/>
      <c r="N3932" s="12"/>
      <c r="S3932" s="12"/>
      <c r="X3932" s="12"/>
      <c r="AM3932" s="12"/>
    </row>
    <row r="3933" spans="9:39" x14ac:dyDescent="0.3">
      <c r="I3933" s="12"/>
      <c r="N3933" s="12"/>
      <c r="S3933" s="12"/>
      <c r="X3933" s="12"/>
      <c r="AM3933" s="12"/>
    </row>
    <row r="3934" spans="9:39" x14ac:dyDescent="0.3">
      <c r="I3934" s="12"/>
      <c r="N3934" s="12"/>
      <c r="S3934" s="12"/>
      <c r="X3934" s="12"/>
      <c r="AM3934" s="12"/>
    </row>
    <row r="3935" spans="9:39" x14ac:dyDescent="0.3">
      <c r="I3935" s="12"/>
      <c r="N3935" s="12"/>
      <c r="S3935" s="12"/>
      <c r="X3935" s="12"/>
      <c r="AM3935" s="12"/>
    </row>
    <row r="3936" spans="9:39" x14ac:dyDescent="0.3">
      <c r="I3936" s="12"/>
      <c r="N3936" s="12"/>
      <c r="S3936" s="12"/>
      <c r="X3936" s="12"/>
      <c r="AM3936" s="12"/>
    </row>
    <row r="3937" spans="9:39" x14ac:dyDescent="0.3">
      <c r="I3937" s="12"/>
      <c r="N3937" s="12"/>
      <c r="S3937" s="12"/>
      <c r="X3937" s="12"/>
      <c r="AM3937" s="12"/>
    </row>
    <row r="3938" spans="9:39" x14ac:dyDescent="0.3">
      <c r="I3938" s="12"/>
      <c r="N3938" s="12"/>
      <c r="S3938" s="12"/>
      <c r="X3938" s="12"/>
      <c r="AM3938" s="12"/>
    </row>
    <row r="3939" spans="9:39" x14ac:dyDescent="0.3">
      <c r="I3939" s="12"/>
      <c r="N3939" s="12"/>
      <c r="S3939" s="12"/>
      <c r="X3939" s="12"/>
      <c r="AM3939" s="12"/>
    </row>
    <row r="3940" spans="9:39" x14ac:dyDescent="0.3">
      <c r="I3940" s="12"/>
      <c r="N3940" s="12"/>
      <c r="S3940" s="12"/>
      <c r="X3940" s="12"/>
      <c r="AM3940" s="12"/>
    </row>
    <row r="3941" spans="9:39" x14ac:dyDescent="0.3">
      <c r="I3941" s="12"/>
      <c r="N3941" s="12"/>
      <c r="S3941" s="12"/>
      <c r="X3941" s="12"/>
      <c r="AM3941" s="12"/>
    </row>
    <row r="3942" spans="9:39" x14ac:dyDescent="0.3">
      <c r="I3942" s="12"/>
      <c r="N3942" s="12"/>
      <c r="S3942" s="12"/>
      <c r="X3942" s="12"/>
      <c r="AM3942" s="12"/>
    </row>
    <row r="3943" spans="9:39" x14ac:dyDescent="0.3">
      <c r="I3943" s="12"/>
      <c r="N3943" s="12"/>
      <c r="S3943" s="12"/>
      <c r="X3943" s="12"/>
      <c r="AM3943" s="12"/>
    </row>
    <row r="3944" spans="9:39" x14ac:dyDescent="0.3">
      <c r="I3944" s="12"/>
      <c r="N3944" s="12"/>
      <c r="S3944" s="12"/>
      <c r="X3944" s="12"/>
      <c r="AM3944" s="12"/>
    </row>
    <row r="3945" spans="9:39" x14ac:dyDescent="0.3">
      <c r="I3945" s="12"/>
      <c r="N3945" s="12"/>
      <c r="S3945" s="12"/>
      <c r="X3945" s="12"/>
      <c r="AM3945" s="12"/>
    </row>
    <row r="3946" spans="9:39" x14ac:dyDescent="0.3">
      <c r="I3946" s="12"/>
      <c r="N3946" s="12"/>
      <c r="S3946" s="12"/>
      <c r="X3946" s="12"/>
      <c r="AM3946" s="12"/>
    </row>
    <row r="3947" spans="9:39" x14ac:dyDescent="0.3">
      <c r="I3947" s="12"/>
      <c r="N3947" s="12"/>
      <c r="S3947" s="12"/>
      <c r="X3947" s="12"/>
      <c r="AM3947" s="12"/>
    </row>
    <row r="3948" spans="9:39" x14ac:dyDescent="0.3">
      <c r="I3948" s="12"/>
      <c r="N3948" s="12"/>
      <c r="S3948" s="12"/>
      <c r="X3948" s="12"/>
      <c r="AM3948" s="12"/>
    </row>
    <row r="3949" spans="9:39" x14ac:dyDescent="0.3">
      <c r="I3949" s="12"/>
      <c r="N3949" s="12"/>
      <c r="S3949" s="12"/>
      <c r="X3949" s="12"/>
      <c r="AM3949" s="12"/>
    </row>
    <row r="3950" spans="9:39" x14ac:dyDescent="0.3">
      <c r="I3950" s="12"/>
      <c r="N3950" s="12"/>
      <c r="S3950" s="12"/>
      <c r="X3950" s="12"/>
      <c r="AM3950" s="12"/>
    </row>
    <row r="3951" spans="9:39" x14ac:dyDescent="0.3">
      <c r="I3951" s="12"/>
      <c r="N3951" s="12"/>
      <c r="S3951" s="12"/>
      <c r="X3951" s="12"/>
      <c r="AM3951" s="12"/>
    </row>
    <row r="3952" spans="9:39" x14ac:dyDescent="0.3">
      <c r="I3952" s="12"/>
      <c r="N3952" s="12"/>
      <c r="S3952" s="12"/>
      <c r="X3952" s="12"/>
      <c r="AM3952" s="12"/>
    </row>
    <row r="3953" spans="9:39" x14ac:dyDescent="0.3">
      <c r="I3953" s="12"/>
      <c r="N3953" s="12"/>
      <c r="S3953" s="12"/>
      <c r="X3953" s="12"/>
      <c r="AM3953" s="12"/>
    </row>
    <row r="3954" spans="9:39" x14ac:dyDescent="0.3">
      <c r="I3954" s="12"/>
      <c r="N3954" s="12"/>
      <c r="S3954" s="12"/>
      <c r="X3954" s="12"/>
      <c r="AM3954" s="12"/>
    </row>
    <row r="3955" spans="9:39" x14ac:dyDescent="0.3">
      <c r="I3955" s="12"/>
      <c r="N3955" s="12"/>
      <c r="S3955" s="12"/>
      <c r="X3955" s="12"/>
      <c r="AM3955" s="12"/>
    </row>
    <row r="3956" spans="9:39" x14ac:dyDescent="0.3">
      <c r="I3956" s="12"/>
      <c r="N3956" s="12"/>
      <c r="S3956" s="12"/>
      <c r="X3956" s="12"/>
      <c r="AM3956" s="12"/>
    </row>
    <row r="3957" spans="9:39" x14ac:dyDescent="0.3">
      <c r="I3957" s="12"/>
      <c r="N3957" s="12"/>
      <c r="S3957" s="12"/>
      <c r="X3957" s="12"/>
      <c r="AM3957" s="12"/>
    </row>
    <row r="3958" spans="9:39" x14ac:dyDescent="0.3">
      <c r="I3958" s="12"/>
      <c r="N3958" s="12"/>
      <c r="S3958" s="12"/>
      <c r="X3958" s="12"/>
      <c r="AM3958" s="12"/>
    </row>
    <row r="3959" spans="9:39" x14ac:dyDescent="0.3">
      <c r="I3959" s="12"/>
      <c r="N3959" s="12"/>
      <c r="S3959" s="12"/>
      <c r="X3959" s="12"/>
      <c r="AM3959" s="12"/>
    </row>
    <row r="3960" spans="9:39" x14ac:dyDescent="0.3">
      <c r="I3960" s="12"/>
      <c r="N3960" s="12"/>
      <c r="S3960" s="12"/>
      <c r="X3960" s="12"/>
      <c r="AM3960" s="12"/>
    </row>
    <row r="3961" spans="9:39" x14ac:dyDescent="0.3">
      <c r="I3961" s="12"/>
      <c r="N3961" s="12"/>
      <c r="S3961" s="12"/>
      <c r="X3961" s="12"/>
      <c r="AM3961" s="12"/>
    </row>
    <row r="3962" spans="9:39" x14ac:dyDescent="0.3">
      <c r="I3962" s="12"/>
      <c r="N3962" s="12"/>
      <c r="S3962" s="12"/>
      <c r="X3962" s="12"/>
      <c r="AM3962" s="12"/>
    </row>
    <row r="3963" spans="9:39" x14ac:dyDescent="0.3">
      <c r="I3963" s="12"/>
      <c r="N3963" s="12"/>
      <c r="S3963" s="12"/>
      <c r="X3963" s="12"/>
      <c r="AM3963" s="12"/>
    </row>
    <row r="3964" spans="9:39" x14ac:dyDescent="0.3">
      <c r="I3964" s="12"/>
      <c r="N3964" s="12"/>
      <c r="S3964" s="12"/>
      <c r="X3964" s="12"/>
      <c r="AM3964" s="12"/>
    </row>
    <row r="3965" spans="9:39" x14ac:dyDescent="0.3">
      <c r="I3965" s="12"/>
      <c r="N3965" s="12"/>
      <c r="S3965" s="12"/>
      <c r="X3965" s="12"/>
      <c r="AM3965" s="12"/>
    </row>
    <row r="3966" spans="9:39" x14ac:dyDescent="0.3">
      <c r="I3966" s="12"/>
      <c r="N3966" s="12"/>
      <c r="S3966" s="12"/>
      <c r="X3966" s="12"/>
      <c r="AM3966" s="12"/>
    </row>
    <row r="3967" spans="9:39" x14ac:dyDescent="0.3">
      <c r="I3967" s="12"/>
      <c r="N3967" s="12"/>
      <c r="S3967" s="12"/>
      <c r="X3967" s="12"/>
      <c r="AM3967" s="12"/>
    </row>
    <row r="3968" spans="9:39" x14ac:dyDescent="0.3">
      <c r="I3968" s="12"/>
      <c r="N3968" s="12"/>
      <c r="S3968" s="12"/>
      <c r="X3968" s="12"/>
      <c r="AM3968" s="12"/>
    </row>
    <row r="3969" spans="9:39" x14ac:dyDescent="0.3">
      <c r="I3969" s="12"/>
      <c r="N3969" s="12"/>
      <c r="S3969" s="12"/>
      <c r="X3969" s="12"/>
      <c r="AM3969" s="12"/>
    </row>
    <row r="3970" spans="9:39" x14ac:dyDescent="0.3">
      <c r="I3970" s="12"/>
      <c r="N3970" s="12"/>
      <c r="S3970" s="12"/>
      <c r="X3970" s="12"/>
      <c r="AM3970" s="12"/>
    </row>
    <row r="3971" spans="9:39" x14ac:dyDescent="0.3">
      <c r="I3971" s="12"/>
      <c r="N3971" s="12"/>
      <c r="S3971" s="12"/>
      <c r="X3971" s="12"/>
      <c r="AM3971" s="12"/>
    </row>
    <row r="3972" spans="9:39" x14ac:dyDescent="0.3">
      <c r="I3972" s="12"/>
      <c r="N3972" s="12"/>
      <c r="S3972" s="12"/>
      <c r="X3972" s="12"/>
      <c r="AM3972" s="12"/>
    </row>
    <row r="3973" spans="9:39" x14ac:dyDescent="0.3">
      <c r="I3973" s="12"/>
      <c r="N3973" s="12"/>
      <c r="S3973" s="12"/>
      <c r="X3973" s="12"/>
      <c r="AM3973" s="12"/>
    </row>
    <row r="3974" spans="9:39" x14ac:dyDescent="0.3">
      <c r="I3974" s="12"/>
      <c r="N3974" s="12"/>
      <c r="S3974" s="12"/>
      <c r="X3974" s="12"/>
      <c r="AM3974" s="12"/>
    </row>
    <row r="3975" spans="9:39" x14ac:dyDescent="0.3">
      <c r="I3975" s="12"/>
      <c r="N3975" s="12"/>
      <c r="S3975" s="12"/>
      <c r="X3975" s="12"/>
      <c r="AM3975" s="12"/>
    </row>
    <row r="3976" spans="9:39" x14ac:dyDescent="0.3">
      <c r="I3976" s="12"/>
      <c r="N3976" s="12"/>
      <c r="S3976" s="12"/>
      <c r="X3976" s="12"/>
      <c r="AM3976" s="12"/>
    </row>
    <row r="3977" spans="9:39" x14ac:dyDescent="0.3">
      <c r="I3977" s="12"/>
      <c r="N3977" s="12"/>
      <c r="S3977" s="12"/>
      <c r="X3977" s="12"/>
      <c r="AM3977" s="12"/>
    </row>
    <row r="3978" spans="9:39" x14ac:dyDescent="0.3">
      <c r="I3978" s="12"/>
      <c r="N3978" s="12"/>
      <c r="S3978" s="12"/>
      <c r="X3978" s="12"/>
      <c r="AM3978" s="12"/>
    </row>
    <row r="3979" spans="9:39" x14ac:dyDescent="0.3">
      <c r="I3979" s="12"/>
      <c r="N3979" s="12"/>
      <c r="S3979" s="12"/>
      <c r="X3979" s="12"/>
      <c r="AM3979" s="12"/>
    </row>
    <row r="3980" spans="9:39" x14ac:dyDescent="0.3">
      <c r="I3980" s="12"/>
      <c r="N3980" s="12"/>
      <c r="S3980" s="12"/>
      <c r="X3980" s="12"/>
      <c r="AM3980" s="12"/>
    </row>
    <row r="3981" spans="9:39" x14ac:dyDescent="0.3">
      <c r="I3981" s="12"/>
      <c r="N3981" s="12"/>
      <c r="S3981" s="12"/>
      <c r="X3981" s="12"/>
      <c r="AM3981" s="12"/>
    </row>
    <row r="3982" spans="9:39" x14ac:dyDescent="0.3">
      <c r="I3982" s="12"/>
      <c r="N3982" s="12"/>
      <c r="S3982" s="12"/>
      <c r="X3982" s="12"/>
      <c r="AM3982" s="12"/>
    </row>
    <row r="3983" spans="9:39" x14ac:dyDescent="0.3">
      <c r="I3983" s="12"/>
      <c r="N3983" s="12"/>
      <c r="S3983" s="12"/>
      <c r="X3983" s="12"/>
      <c r="AM3983" s="12"/>
    </row>
    <row r="3984" spans="9:39" x14ac:dyDescent="0.3">
      <c r="I3984" s="12"/>
      <c r="N3984" s="12"/>
      <c r="S3984" s="12"/>
      <c r="X3984" s="12"/>
      <c r="AM3984" s="12"/>
    </row>
    <row r="3985" spans="9:39" x14ac:dyDescent="0.3">
      <c r="I3985" s="12"/>
      <c r="N3985" s="12"/>
      <c r="S3985" s="12"/>
      <c r="X3985" s="12"/>
      <c r="AM3985" s="12"/>
    </row>
    <row r="3986" spans="9:39" x14ac:dyDescent="0.3">
      <c r="I3986" s="12"/>
      <c r="N3986" s="12"/>
      <c r="S3986" s="12"/>
      <c r="X3986" s="12"/>
      <c r="AM3986" s="12"/>
    </row>
    <row r="3987" spans="9:39" x14ac:dyDescent="0.3">
      <c r="I3987" s="12"/>
      <c r="N3987" s="12"/>
      <c r="S3987" s="12"/>
      <c r="X3987" s="12"/>
      <c r="AM3987" s="12"/>
    </row>
    <row r="3988" spans="9:39" x14ac:dyDescent="0.3">
      <c r="I3988" s="12"/>
      <c r="N3988" s="12"/>
      <c r="S3988" s="12"/>
      <c r="X3988" s="12"/>
      <c r="AM3988" s="12"/>
    </row>
    <row r="3989" spans="9:39" x14ac:dyDescent="0.3">
      <c r="I3989" s="12"/>
      <c r="N3989" s="12"/>
      <c r="S3989" s="12"/>
      <c r="X3989" s="12"/>
      <c r="AM3989" s="12"/>
    </row>
    <row r="3990" spans="9:39" x14ac:dyDescent="0.3">
      <c r="I3990" s="12"/>
      <c r="N3990" s="12"/>
      <c r="S3990" s="12"/>
      <c r="X3990" s="12"/>
      <c r="AM3990" s="12"/>
    </row>
    <row r="3991" spans="9:39" x14ac:dyDescent="0.3">
      <c r="I3991" s="12"/>
      <c r="N3991" s="12"/>
      <c r="S3991" s="12"/>
      <c r="X3991" s="12"/>
      <c r="AM3991" s="12"/>
    </row>
    <row r="3992" spans="9:39" x14ac:dyDescent="0.3">
      <c r="I3992" s="12"/>
      <c r="N3992" s="12"/>
      <c r="S3992" s="12"/>
      <c r="X3992" s="12"/>
      <c r="AM3992" s="12"/>
    </row>
    <row r="3993" spans="9:39" x14ac:dyDescent="0.3">
      <c r="I3993" s="12"/>
      <c r="N3993" s="12"/>
      <c r="S3993" s="12"/>
      <c r="X3993" s="12"/>
      <c r="AM3993" s="12"/>
    </row>
    <row r="3994" spans="9:39" x14ac:dyDescent="0.3">
      <c r="I3994" s="12"/>
      <c r="N3994" s="12"/>
      <c r="S3994" s="12"/>
      <c r="X3994" s="12"/>
      <c r="AM3994" s="12"/>
    </row>
    <row r="3995" spans="9:39" x14ac:dyDescent="0.3">
      <c r="I3995" s="12"/>
      <c r="N3995" s="12"/>
      <c r="S3995" s="12"/>
      <c r="X3995" s="12"/>
      <c r="AM3995" s="12"/>
    </row>
    <row r="3996" spans="9:39" x14ac:dyDescent="0.3">
      <c r="I3996" s="12"/>
      <c r="N3996" s="12"/>
      <c r="S3996" s="12"/>
      <c r="X3996" s="12"/>
      <c r="AM3996" s="12"/>
    </row>
    <row r="3997" spans="9:39" x14ac:dyDescent="0.3">
      <c r="I3997" s="12"/>
      <c r="N3997" s="12"/>
      <c r="S3997" s="12"/>
      <c r="X3997" s="12"/>
      <c r="AM3997" s="12"/>
    </row>
    <row r="3998" spans="9:39" x14ac:dyDescent="0.3">
      <c r="I3998" s="12"/>
      <c r="N3998" s="12"/>
      <c r="S3998" s="12"/>
      <c r="X3998" s="12"/>
      <c r="AM3998" s="12"/>
    </row>
    <row r="3999" spans="9:39" x14ac:dyDescent="0.3">
      <c r="I3999" s="12"/>
      <c r="N3999" s="12"/>
      <c r="S3999" s="12"/>
      <c r="X3999" s="12"/>
      <c r="AM3999" s="12"/>
    </row>
    <row r="4000" spans="9:39" x14ac:dyDescent="0.3">
      <c r="I4000" s="12"/>
      <c r="N4000" s="12"/>
      <c r="S4000" s="12"/>
      <c r="X4000" s="12"/>
      <c r="AM4000" s="12"/>
    </row>
    <row r="4001" spans="9:39" x14ac:dyDescent="0.3">
      <c r="I4001" s="12"/>
      <c r="N4001" s="12"/>
      <c r="S4001" s="12"/>
      <c r="X4001" s="12"/>
      <c r="AM4001" s="12"/>
    </row>
    <row r="4002" spans="9:39" x14ac:dyDescent="0.3">
      <c r="I4002" s="12"/>
      <c r="N4002" s="12"/>
      <c r="S4002" s="12"/>
      <c r="X4002" s="12"/>
      <c r="AM4002" s="12"/>
    </row>
    <row r="4003" spans="9:39" x14ac:dyDescent="0.3">
      <c r="I4003" s="12"/>
      <c r="N4003" s="12"/>
      <c r="S4003" s="12"/>
      <c r="X4003" s="12"/>
      <c r="AM4003" s="12"/>
    </row>
    <row r="4004" spans="9:39" x14ac:dyDescent="0.3">
      <c r="I4004" s="12"/>
      <c r="N4004" s="12"/>
      <c r="S4004" s="12"/>
      <c r="X4004" s="12"/>
      <c r="AM4004" s="12"/>
    </row>
    <row r="4005" spans="9:39" x14ac:dyDescent="0.3">
      <c r="I4005" s="12"/>
      <c r="N4005" s="12"/>
      <c r="S4005" s="12"/>
      <c r="X4005" s="12"/>
      <c r="AM4005" s="12"/>
    </row>
    <row r="4006" spans="9:39" x14ac:dyDescent="0.3">
      <c r="I4006" s="12"/>
      <c r="N4006" s="12"/>
      <c r="S4006" s="12"/>
      <c r="X4006" s="12"/>
      <c r="AM4006" s="12"/>
    </row>
    <row r="4007" spans="9:39" x14ac:dyDescent="0.3">
      <c r="I4007" s="12"/>
      <c r="N4007" s="12"/>
      <c r="S4007" s="12"/>
      <c r="X4007" s="12"/>
      <c r="AM4007" s="12"/>
    </row>
    <row r="4008" spans="9:39" x14ac:dyDescent="0.3">
      <c r="I4008" s="12"/>
      <c r="N4008" s="12"/>
      <c r="S4008" s="12"/>
      <c r="X4008" s="12"/>
      <c r="AM4008" s="12"/>
    </row>
    <row r="4009" spans="9:39" x14ac:dyDescent="0.3">
      <c r="I4009" s="12"/>
      <c r="N4009" s="12"/>
      <c r="S4009" s="12"/>
      <c r="X4009" s="12"/>
      <c r="AM4009" s="12"/>
    </row>
    <row r="4010" spans="9:39" x14ac:dyDescent="0.3">
      <c r="I4010" s="12"/>
      <c r="N4010" s="12"/>
      <c r="S4010" s="12"/>
      <c r="X4010" s="12"/>
      <c r="AM4010" s="12"/>
    </row>
    <row r="4011" spans="9:39" x14ac:dyDescent="0.3">
      <c r="I4011" s="12"/>
      <c r="N4011" s="12"/>
      <c r="S4011" s="12"/>
      <c r="X4011" s="12"/>
      <c r="AM4011" s="12"/>
    </row>
    <row r="4012" spans="9:39" x14ac:dyDescent="0.3">
      <c r="I4012" s="12"/>
      <c r="N4012" s="12"/>
      <c r="S4012" s="12"/>
      <c r="X4012" s="12"/>
      <c r="AM4012" s="12"/>
    </row>
    <row r="4013" spans="9:39" x14ac:dyDescent="0.3">
      <c r="I4013" s="12"/>
      <c r="N4013" s="12"/>
      <c r="S4013" s="12"/>
      <c r="X4013" s="12"/>
      <c r="AM4013" s="12"/>
    </row>
    <row r="4014" spans="9:39" x14ac:dyDescent="0.3">
      <c r="I4014" s="12"/>
      <c r="N4014" s="12"/>
      <c r="S4014" s="12"/>
      <c r="X4014" s="12"/>
      <c r="AM4014" s="12"/>
    </row>
    <row r="4015" spans="9:39" x14ac:dyDescent="0.3">
      <c r="I4015" s="12"/>
      <c r="N4015" s="12"/>
      <c r="S4015" s="12"/>
      <c r="X4015" s="12"/>
      <c r="AM4015" s="12"/>
    </row>
    <row r="4016" spans="9:39" x14ac:dyDescent="0.3">
      <c r="I4016" s="12"/>
      <c r="N4016" s="12"/>
      <c r="S4016" s="12"/>
      <c r="X4016" s="12"/>
      <c r="AM4016" s="12"/>
    </row>
    <row r="4017" spans="9:39" x14ac:dyDescent="0.3">
      <c r="I4017" s="12"/>
      <c r="N4017" s="12"/>
      <c r="S4017" s="12"/>
      <c r="X4017" s="12"/>
      <c r="AM4017" s="12"/>
    </row>
    <row r="4018" spans="9:39" x14ac:dyDescent="0.3">
      <c r="I4018" s="12"/>
      <c r="N4018" s="12"/>
      <c r="S4018" s="12"/>
      <c r="X4018" s="12"/>
      <c r="AM4018" s="12"/>
    </row>
    <row r="4019" spans="9:39" x14ac:dyDescent="0.3">
      <c r="I4019" s="12"/>
      <c r="N4019" s="12"/>
      <c r="S4019" s="12"/>
      <c r="X4019" s="12"/>
      <c r="AM4019" s="12"/>
    </row>
    <row r="4020" spans="9:39" x14ac:dyDescent="0.3">
      <c r="I4020" s="12"/>
      <c r="N4020" s="12"/>
      <c r="S4020" s="12"/>
      <c r="X4020" s="12"/>
      <c r="AM4020" s="12"/>
    </row>
    <row r="4021" spans="9:39" x14ac:dyDescent="0.3">
      <c r="I4021" s="12"/>
      <c r="N4021" s="12"/>
      <c r="S4021" s="12"/>
      <c r="X4021" s="12"/>
      <c r="AM4021" s="12"/>
    </row>
    <row r="4022" spans="9:39" x14ac:dyDescent="0.3">
      <c r="I4022" s="12"/>
      <c r="N4022" s="12"/>
      <c r="S4022" s="12"/>
      <c r="X4022" s="12"/>
      <c r="AM4022" s="12"/>
    </row>
    <row r="4023" spans="9:39" x14ac:dyDescent="0.3">
      <c r="I4023" s="12"/>
      <c r="N4023" s="12"/>
      <c r="S4023" s="12"/>
      <c r="X4023" s="12"/>
      <c r="AM4023" s="12"/>
    </row>
    <row r="4024" spans="9:39" x14ac:dyDescent="0.3">
      <c r="I4024" s="12"/>
      <c r="N4024" s="12"/>
      <c r="S4024" s="12"/>
      <c r="X4024" s="12"/>
      <c r="AM4024" s="12"/>
    </row>
    <row r="4025" spans="9:39" x14ac:dyDescent="0.3">
      <c r="I4025" s="12"/>
      <c r="N4025" s="12"/>
      <c r="S4025" s="12"/>
      <c r="X4025" s="12"/>
      <c r="AM4025" s="12"/>
    </row>
    <row r="4026" spans="9:39" x14ac:dyDescent="0.3">
      <c r="I4026" s="12"/>
      <c r="N4026" s="12"/>
      <c r="S4026" s="12"/>
      <c r="X4026" s="12"/>
      <c r="AM4026" s="12"/>
    </row>
    <row r="4027" spans="9:39" x14ac:dyDescent="0.3">
      <c r="I4027" s="12"/>
      <c r="N4027" s="12"/>
      <c r="S4027" s="12"/>
      <c r="X4027" s="12"/>
      <c r="AM4027" s="12"/>
    </row>
    <row r="4028" spans="9:39" x14ac:dyDescent="0.3">
      <c r="I4028" s="12"/>
      <c r="N4028" s="12"/>
      <c r="S4028" s="12"/>
      <c r="X4028" s="12"/>
      <c r="AM4028" s="12"/>
    </row>
    <row r="4029" spans="9:39" x14ac:dyDescent="0.3">
      <c r="I4029" s="12"/>
      <c r="N4029" s="12"/>
      <c r="S4029" s="12"/>
      <c r="X4029" s="12"/>
      <c r="AM4029" s="12"/>
    </row>
    <row r="4030" spans="9:39" x14ac:dyDescent="0.3">
      <c r="I4030" s="12"/>
      <c r="N4030" s="12"/>
      <c r="S4030" s="12"/>
      <c r="X4030" s="12"/>
      <c r="AM4030" s="12"/>
    </row>
    <row r="4031" spans="9:39" x14ac:dyDescent="0.3">
      <c r="I4031" s="12"/>
      <c r="N4031" s="12"/>
      <c r="S4031" s="12"/>
      <c r="X4031" s="12"/>
      <c r="AM4031" s="12"/>
    </row>
    <row r="4032" spans="9:39" x14ac:dyDescent="0.3">
      <c r="I4032" s="12"/>
      <c r="N4032" s="12"/>
      <c r="S4032" s="12"/>
      <c r="X4032" s="12"/>
      <c r="AM4032" s="12"/>
    </row>
    <row r="4033" spans="9:39" x14ac:dyDescent="0.3">
      <c r="I4033" s="12"/>
      <c r="N4033" s="12"/>
      <c r="S4033" s="12"/>
      <c r="X4033" s="12"/>
      <c r="AM4033" s="12"/>
    </row>
    <row r="4034" spans="9:39" x14ac:dyDescent="0.3">
      <c r="I4034" s="12"/>
      <c r="N4034" s="12"/>
      <c r="S4034" s="12"/>
      <c r="X4034" s="12"/>
      <c r="AM4034" s="12"/>
    </row>
    <row r="4035" spans="9:39" x14ac:dyDescent="0.3">
      <c r="I4035" s="12"/>
      <c r="N4035" s="12"/>
      <c r="S4035" s="12"/>
      <c r="X4035" s="12"/>
      <c r="AM4035" s="12"/>
    </row>
    <row r="4036" spans="9:39" x14ac:dyDescent="0.3">
      <c r="I4036" s="12"/>
      <c r="N4036" s="12"/>
      <c r="S4036" s="12"/>
      <c r="X4036" s="12"/>
      <c r="AM4036" s="12"/>
    </row>
    <row r="4037" spans="9:39" x14ac:dyDescent="0.3">
      <c r="I4037" s="12"/>
      <c r="N4037" s="12"/>
      <c r="S4037" s="12"/>
      <c r="X4037" s="12"/>
      <c r="AM4037" s="12"/>
    </row>
    <row r="4038" spans="9:39" x14ac:dyDescent="0.3">
      <c r="I4038" s="12"/>
      <c r="N4038" s="12"/>
      <c r="S4038" s="12"/>
      <c r="X4038" s="12"/>
      <c r="AM4038" s="12"/>
    </row>
    <row r="4039" spans="9:39" x14ac:dyDescent="0.3">
      <c r="I4039" s="12"/>
      <c r="N4039" s="12"/>
      <c r="S4039" s="12"/>
      <c r="X4039" s="12"/>
      <c r="AM4039" s="12"/>
    </row>
    <row r="4040" spans="9:39" x14ac:dyDescent="0.3">
      <c r="I4040" s="12"/>
      <c r="N4040" s="12"/>
      <c r="S4040" s="12"/>
      <c r="X4040" s="12"/>
      <c r="AM4040" s="12"/>
    </row>
    <row r="4041" spans="9:39" x14ac:dyDescent="0.3">
      <c r="I4041" s="12"/>
      <c r="N4041" s="12"/>
      <c r="S4041" s="12"/>
      <c r="X4041" s="12"/>
      <c r="AM4041" s="12"/>
    </row>
    <row r="4042" spans="9:39" x14ac:dyDescent="0.3">
      <c r="I4042" s="12"/>
      <c r="N4042" s="12"/>
      <c r="S4042" s="12"/>
      <c r="X4042" s="12"/>
      <c r="AM4042" s="12"/>
    </row>
    <row r="4043" spans="9:39" x14ac:dyDescent="0.3">
      <c r="I4043" s="12"/>
      <c r="N4043" s="12"/>
      <c r="S4043" s="12"/>
      <c r="X4043" s="12"/>
      <c r="AM4043" s="12"/>
    </row>
    <row r="4044" spans="9:39" x14ac:dyDescent="0.3">
      <c r="I4044" s="12"/>
      <c r="N4044" s="12"/>
      <c r="S4044" s="12"/>
      <c r="X4044" s="12"/>
      <c r="AM4044" s="12"/>
    </row>
    <row r="4045" spans="9:39" x14ac:dyDescent="0.3">
      <c r="I4045" s="12"/>
      <c r="N4045" s="12"/>
      <c r="S4045" s="12"/>
      <c r="X4045" s="12"/>
      <c r="AM4045" s="12"/>
    </row>
    <row r="4046" spans="9:39" x14ac:dyDescent="0.3">
      <c r="I4046" s="12"/>
      <c r="N4046" s="12"/>
      <c r="S4046" s="12"/>
      <c r="X4046" s="12"/>
      <c r="AM4046" s="12"/>
    </row>
    <row r="4047" spans="9:39" x14ac:dyDescent="0.3">
      <c r="I4047" s="12"/>
      <c r="N4047" s="12"/>
      <c r="S4047" s="12"/>
      <c r="X4047" s="12"/>
      <c r="AM4047" s="12"/>
    </row>
    <row r="4048" spans="9:39" x14ac:dyDescent="0.3">
      <c r="I4048" s="12"/>
      <c r="N4048" s="12"/>
      <c r="S4048" s="12"/>
      <c r="X4048" s="12"/>
      <c r="AM4048" s="12"/>
    </row>
    <row r="4049" spans="9:39" x14ac:dyDescent="0.3">
      <c r="I4049" s="12"/>
      <c r="N4049" s="12"/>
      <c r="S4049" s="12"/>
      <c r="X4049" s="12"/>
      <c r="AM4049" s="12"/>
    </row>
    <row r="4050" spans="9:39" x14ac:dyDescent="0.3">
      <c r="I4050" s="12"/>
      <c r="N4050" s="12"/>
      <c r="S4050" s="12"/>
      <c r="X4050" s="12"/>
      <c r="AM4050" s="12"/>
    </row>
    <row r="4051" spans="9:39" x14ac:dyDescent="0.3">
      <c r="I4051" s="12"/>
      <c r="N4051" s="12"/>
      <c r="S4051" s="12"/>
      <c r="X4051" s="12"/>
      <c r="AM4051" s="12"/>
    </row>
    <row r="4052" spans="9:39" x14ac:dyDescent="0.3">
      <c r="I4052" s="12"/>
      <c r="N4052" s="12"/>
      <c r="S4052" s="12"/>
      <c r="X4052" s="12"/>
      <c r="AM4052" s="12"/>
    </row>
    <row r="4053" spans="9:39" x14ac:dyDescent="0.3">
      <c r="I4053" s="12"/>
      <c r="N4053" s="12"/>
      <c r="S4053" s="12"/>
      <c r="X4053" s="12"/>
      <c r="AM4053" s="12"/>
    </row>
    <row r="4054" spans="9:39" x14ac:dyDescent="0.3">
      <c r="I4054" s="12"/>
      <c r="N4054" s="12"/>
      <c r="S4054" s="12"/>
      <c r="X4054" s="12"/>
      <c r="AM4054" s="12"/>
    </row>
    <row r="4055" spans="9:39" x14ac:dyDescent="0.3">
      <c r="I4055" s="12"/>
      <c r="N4055" s="12"/>
      <c r="S4055" s="12"/>
      <c r="X4055" s="12"/>
      <c r="AM4055" s="12"/>
    </row>
    <row r="4056" spans="9:39" x14ac:dyDescent="0.3">
      <c r="I4056" s="12"/>
      <c r="N4056" s="12"/>
      <c r="S4056" s="12"/>
      <c r="X4056" s="12"/>
      <c r="AM4056" s="12"/>
    </row>
    <row r="4057" spans="9:39" x14ac:dyDescent="0.3">
      <c r="I4057" s="12"/>
      <c r="N4057" s="12"/>
      <c r="S4057" s="12"/>
      <c r="X4057" s="12"/>
      <c r="AM4057" s="12"/>
    </row>
    <row r="4058" spans="9:39" x14ac:dyDescent="0.3">
      <c r="I4058" s="12"/>
      <c r="N4058" s="12"/>
      <c r="S4058" s="12"/>
      <c r="X4058" s="12"/>
      <c r="AM4058" s="12"/>
    </row>
    <row r="4059" spans="9:39" x14ac:dyDescent="0.3">
      <c r="I4059" s="12"/>
      <c r="N4059" s="12"/>
      <c r="S4059" s="12"/>
      <c r="X4059" s="12"/>
      <c r="AM4059" s="12"/>
    </row>
    <row r="4060" spans="9:39" x14ac:dyDescent="0.3">
      <c r="I4060" s="12"/>
      <c r="N4060" s="12"/>
      <c r="S4060" s="12"/>
      <c r="X4060" s="12"/>
      <c r="AM4060" s="12"/>
    </row>
    <row r="4061" spans="9:39" x14ac:dyDescent="0.3">
      <c r="I4061" s="12"/>
      <c r="N4061" s="12"/>
      <c r="S4061" s="12"/>
      <c r="X4061" s="12"/>
      <c r="AM4061" s="12"/>
    </row>
    <row r="4062" spans="9:39" x14ac:dyDescent="0.3">
      <c r="I4062" s="12"/>
      <c r="N4062" s="12"/>
      <c r="S4062" s="12"/>
      <c r="X4062" s="12"/>
      <c r="AM4062" s="12"/>
    </row>
    <row r="4063" spans="9:39" x14ac:dyDescent="0.3">
      <c r="I4063" s="12"/>
      <c r="N4063" s="12"/>
      <c r="S4063" s="12"/>
      <c r="X4063" s="12"/>
      <c r="AM4063" s="12"/>
    </row>
    <row r="4064" spans="9:39" x14ac:dyDescent="0.3">
      <c r="I4064" s="12"/>
      <c r="N4064" s="12"/>
      <c r="S4064" s="12"/>
      <c r="X4064" s="12"/>
      <c r="AM4064" s="12"/>
    </row>
    <row r="4065" spans="9:39" x14ac:dyDescent="0.3">
      <c r="I4065" s="12"/>
      <c r="N4065" s="12"/>
      <c r="S4065" s="12"/>
      <c r="X4065" s="12"/>
      <c r="AM4065" s="12"/>
    </row>
    <row r="4066" spans="9:39" x14ac:dyDescent="0.3">
      <c r="I4066" s="12"/>
      <c r="N4066" s="12"/>
      <c r="S4066" s="12"/>
      <c r="X4066" s="12"/>
      <c r="AM4066" s="12"/>
    </row>
    <row r="4067" spans="9:39" x14ac:dyDescent="0.3">
      <c r="I4067" s="12"/>
      <c r="N4067" s="12"/>
      <c r="S4067" s="12"/>
      <c r="X4067" s="12"/>
      <c r="AM4067" s="12"/>
    </row>
    <row r="4068" spans="9:39" x14ac:dyDescent="0.3">
      <c r="I4068" s="12"/>
      <c r="N4068" s="12"/>
      <c r="S4068" s="12"/>
      <c r="X4068" s="12"/>
      <c r="AM4068" s="12"/>
    </row>
    <row r="4069" spans="9:39" x14ac:dyDescent="0.3">
      <c r="I4069" s="12"/>
      <c r="N4069" s="12"/>
      <c r="S4069" s="12"/>
      <c r="X4069" s="12"/>
      <c r="AM4069" s="12"/>
    </row>
    <row r="4070" spans="9:39" x14ac:dyDescent="0.3">
      <c r="I4070" s="12"/>
      <c r="N4070" s="12"/>
      <c r="S4070" s="12"/>
      <c r="X4070" s="12"/>
      <c r="AM4070" s="12"/>
    </row>
    <row r="4071" spans="9:39" x14ac:dyDescent="0.3">
      <c r="I4071" s="12"/>
      <c r="N4071" s="12"/>
      <c r="S4071" s="12"/>
      <c r="X4071" s="12"/>
      <c r="AM4071" s="12"/>
    </row>
    <row r="4072" spans="9:39" x14ac:dyDescent="0.3">
      <c r="I4072" s="12"/>
      <c r="N4072" s="12"/>
      <c r="S4072" s="12"/>
      <c r="X4072" s="12"/>
      <c r="AM4072" s="12"/>
    </row>
    <row r="4073" spans="9:39" x14ac:dyDescent="0.3">
      <c r="I4073" s="12"/>
      <c r="N4073" s="12"/>
      <c r="S4073" s="12"/>
      <c r="X4073" s="12"/>
      <c r="AM4073" s="12"/>
    </row>
    <row r="4074" spans="9:39" x14ac:dyDescent="0.3">
      <c r="I4074" s="12"/>
      <c r="N4074" s="12"/>
      <c r="S4074" s="12"/>
      <c r="X4074" s="12"/>
      <c r="AM4074" s="12"/>
    </row>
    <row r="4075" spans="9:39" x14ac:dyDescent="0.3">
      <c r="I4075" s="12"/>
      <c r="N4075" s="12"/>
      <c r="S4075" s="12"/>
      <c r="X4075" s="12"/>
      <c r="AM4075" s="12"/>
    </row>
    <row r="4076" spans="9:39" x14ac:dyDescent="0.3">
      <c r="I4076" s="12"/>
      <c r="N4076" s="12"/>
      <c r="S4076" s="12"/>
      <c r="X4076" s="12"/>
      <c r="AM4076" s="12"/>
    </row>
    <row r="4077" spans="9:39" x14ac:dyDescent="0.3">
      <c r="I4077" s="12"/>
      <c r="N4077" s="12"/>
      <c r="S4077" s="12"/>
      <c r="X4077" s="12"/>
      <c r="AM4077" s="12"/>
    </row>
    <row r="4078" spans="9:39" x14ac:dyDescent="0.3">
      <c r="I4078" s="12"/>
      <c r="N4078" s="12"/>
      <c r="S4078" s="12"/>
      <c r="X4078" s="12"/>
      <c r="AM4078" s="12"/>
    </row>
    <row r="4079" spans="9:39" x14ac:dyDescent="0.3">
      <c r="I4079" s="12"/>
      <c r="N4079" s="12"/>
      <c r="S4079" s="12"/>
      <c r="X4079" s="12"/>
      <c r="AM4079" s="12"/>
    </row>
    <row r="4080" spans="9:39" x14ac:dyDescent="0.3">
      <c r="I4080" s="12"/>
      <c r="N4080" s="12"/>
      <c r="S4080" s="12"/>
      <c r="X4080" s="12"/>
      <c r="AM4080" s="12"/>
    </row>
    <row r="4081" spans="9:39" x14ac:dyDescent="0.3">
      <c r="I4081" s="12"/>
      <c r="N4081" s="12"/>
      <c r="S4081" s="12"/>
      <c r="X4081" s="12"/>
      <c r="AM4081" s="12"/>
    </row>
    <row r="4082" spans="9:39" x14ac:dyDescent="0.3">
      <c r="I4082" s="12"/>
      <c r="N4082" s="12"/>
      <c r="S4082" s="12"/>
      <c r="X4082" s="12"/>
      <c r="AM4082" s="12"/>
    </row>
    <row r="4083" spans="9:39" x14ac:dyDescent="0.3">
      <c r="I4083" s="12"/>
      <c r="N4083" s="12"/>
      <c r="S4083" s="12"/>
      <c r="X4083" s="12"/>
      <c r="AM4083" s="12"/>
    </row>
    <row r="4084" spans="9:39" x14ac:dyDescent="0.3">
      <c r="I4084" s="12"/>
      <c r="N4084" s="12"/>
      <c r="S4084" s="12"/>
      <c r="X4084" s="12"/>
      <c r="AM4084" s="12"/>
    </row>
    <row r="4085" spans="9:39" x14ac:dyDescent="0.3">
      <c r="I4085" s="12"/>
      <c r="N4085" s="12"/>
      <c r="S4085" s="12"/>
      <c r="X4085" s="12"/>
      <c r="AM4085" s="12"/>
    </row>
    <row r="4086" spans="9:39" x14ac:dyDescent="0.3">
      <c r="I4086" s="12"/>
      <c r="N4086" s="12"/>
      <c r="S4086" s="12"/>
      <c r="X4086" s="12"/>
      <c r="AM4086" s="12"/>
    </row>
    <row r="4087" spans="9:39" x14ac:dyDescent="0.3">
      <c r="I4087" s="12"/>
      <c r="N4087" s="12"/>
      <c r="S4087" s="12"/>
      <c r="X4087" s="12"/>
      <c r="AM4087" s="12"/>
    </row>
    <row r="4088" spans="9:39" x14ac:dyDescent="0.3">
      <c r="I4088" s="12"/>
      <c r="N4088" s="12"/>
      <c r="S4088" s="12"/>
      <c r="X4088" s="12"/>
      <c r="AM4088" s="12"/>
    </row>
    <row r="4089" spans="9:39" x14ac:dyDescent="0.3">
      <c r="I4089" s="12"/>
      <c r="N4089" s="12"/>
      <c r="S4089" s="12"/>
      <c r="X4089" s="12"/>
      <c r="AM4089" s="12"/>
    </row>
    <row r="4090" spans="9:39" x14ac:dyDescent="0.3">
      <c r="I4090" s="12"/>
      <c r="N4090" s="12"/>
      <c r="S4090" s="12"/>
      <c r="X4090" s="12"/>
      <c r="AM4090" s="12"/>
    </row>
    <row r="4091" spans="9:39" x14ac:dyDescent="0.3">
      <c r="I4091" s="12"/>
      <c r="N4091" s="12"/>
      <c r="S4091" s="12"/>
      <c r="X4091" s="12"/>
      <c r="AM4091" s="12"/>
    </row>
    <row r="4092" spans="9:39" x14ac:dyDescent="0.3">
      <c r="I4092" s="12"/>
      <c r="N4092" s="12"/>
      <c r="S4092" s="12"/>
      <c r="X4092" s="12"/>
      <c r="AM4092" s="12"/>
    </row>
    <row r="4093" spans="9:39" x14ac:dyDescent="0.3">
      <c r="I4093" s="12"/>
      <c r="N4093" s="12"/>
      <c r="S4093" s="12"/>
      <c r="X4093" s="12"/>
      <c r="AM4093" s="12"/>
    </row>
    <row r="4094" spans="9:39" x14ac:dyDescent="0.3">
      <c r="I4094" s="12"/>
      <c r="N4094" s="12"/>
      <c r="S4094" s="12"/>
      <c r="X4094" s="12"/>
      <c r="AM4094" s="12"/>
    </row>
    <row r="4095" spans="9:39" x14ac:dyDescent="0.3">
      <c r="I4095" s="12"/>
      <c r="N4095" s="12"/>
      <c r="S4095" s="12"/>
      <c r="X4095" s="12"/>
      <c r="AM4095" s="12"/>
    </row>
    <row r="4096" spans="9:39" x14ac:dyDescent="0.3">
      <c r="I4096" s="12"/>
      <c r="N4096" s="12"/>
      <c r="S4096" s="12"/>
      <c r="X4096" s="12"/>
      <c r="AM4096" s="12"/>
    </row>
    <row r="4097" spans="9:39" x14ac:dyDescent="0.3">
      <c r="I4097" s="12"/>
      <c r="N4097" s="12"/>
      <c r="S4097" s="12"/>
      <c r="X4097" s="12"/>
      <c r="AM4097" s="12"/>
    </row>
    <row r="4098" spans="9:39" x14ac:dyDescent="0.3">
      <c r="I4098" s="12"/>
      <c r="N4098" s="12"/>
      <c r="S4098" s="12"/>
      <c r="X4098" s="12"/>
      <c r="AM4098" s="12"/>
    </row>
    <row r="4099" spans="9:39" x14ac:dyDescent="0.3">
      <c r="I4099" s="12"/>
      <c r="N4099" s="12"/>
      <c r="S4099" s="12"/>
      <c r="X4099" s="12"/>
      <c r="AM4099" s="12"/>
    </row>
    <row r="4100" spans="9:39" x14ac:dyDescent="0.3">
      <c r="I4100" s="12"/>
      <c r="N4100" s="12"/>
      <c r="S4100" s="12"/>
      <c r="X4100" s="12"/>
      <c r="AM4100" s="12"/>
    </row>
    <row r="4101" spans="9:39" x14ac:dyDescent="0.3">
      <c r="I4101" s="12"/>
      <c r="N4101" s="12"/>
      <c r="S4101" s="12"/>
      <c r="X4101" s="12"/>
      <c r="AM4101" s="12"/>
    </row>
    <row r="4102" spans="9:39" x14ac:dyDescent="0.3">
      <c r="I4102" s="12"/>
      <c r="N4102" s="12"/>
      <c r="S4102" s="12"/>
      <c r="X4102" s="12"/>
      <c r="AM4102" s="12"/>
    </row>
    <row r="4103" spans="9:39" x14ac:dyDescent="0.3">
      <c r="I4103" s="12"/>
      <c r="N4103" s="12"/>
      <c r="S4103" s="12"/>
      <c r="X4103" s="12"/>
      <c r="AM4103" s="12"/>
    </row>
    <row r="4104" spans="9:39" x14ac:dyDescent="0.3">
      <c r="I4104" s="12"/>
      <c r="N4104" s="12"/>
      <c r="S4104" s="12"/>
      <c r="X4104" s="12"/>
      <c r="AM4104" s="12"/>
    </row>
    <row r="4105" spans="9:39" x14ac:dyDescent="0.3">
      <c r="I4105" s="12"/>
      <c r="N4105" s="12"/>
      <c r="S4105" s="12"/>
      <c r="X4105" s="12"/>
      <c r="AM4105" s="12"/>
    </row>
    <row r="4106" spans="9:39" x14ac:dyDescent="0.3">
      <c r="I4106" s="12"/>
      <c r="N4106" s="12"/>
      <c r="S4106" s="12"/>
      <c r="X4106" s="12"/>
      <c r="AM4106" s="12"/>
    </row>
    <row r="4107" spans="9:39" x14ac:dyDescent="0.3">
      <c r="I4107" s="12"/>
      <c r="N4107" s="12"/>
      <c r="S4107" s="12"/>
      <c r="X4107" s="12"/>
      <c r="AM4107" s="12"/>
    </row>
    <row r="4108" spans="9:39" x14ac:dyDescent="0.3">
      <c r="I4108" s="12"/>
      <c r="N4108" s="12"/>
      <c r="S4108" s="12"/>
      <c r="X4108" s="12"/>
      <c r="AM4108" s="12"/>
    </row>
    <row r="4109" spans="9:39" x14ac:dyDescent="0.3">
      <c r="I4109" s="12"/>
      <c r="N4109" s="12"/>
      <c r="S4109" s="12"/>
      <c r="X4109" s="12"/>
      <c r="AM4109" s="12"/>
    </row>
    <row r="4110" spans="9:39" x14ac:dyDescent="0.3">
      <c r="I4110" s="12"/>
      <c r="N4110" s="12"/>
      <c r="S4110" s="12"/>
      <c r="X4110" s="12"/>
      <c r="AM4110" s="12"/>
    </row>
    <row r="4111" spans="9:39" x14ac:dyDescent="0.3">
      <c r="I4111" s="12"/>
      <c r="N4111" s="12"/>
      <c r="S4111" s="12"/>
      <c r="X4111" s="12"/>
      <c r="AM4111" s="12"/>
    </row>
    <row r="4112" spans="9:39" x14ac:dyDescent="0.3">
      <c r="I4112" s="12"/>
      <c r="N4112" s="12"/>
      <c r="S4112" s="12"/>
      <c r="X4112" s="12"/>
      <c r="AM4112" s="12"/>
    </row>
    <row r="4113" spans="9:39" x14ac:dyDescent="0.3">
      <c r="I4113" s="12"/>
      <c r="N4113" s="12"/>
      <c r="S4113" s="12"/>
      <c r="X4113" s="12"/>
      <c r="AM4113" s="12"/>
    </row>
    <row r="4114" spans="9:39" x14ac:dyDescent="0.3">
      <c r="I4114" s="12"/>
      <c r="N4114" s="12"/>
      <c r="S4114" s="12"/>
      <c r="X4114" s="12"/>
      <c r="AM4114" s="12"/>
    </row>
    <row r="4115" spans="9:39" x14ac:dyDescent="0.3">
      <c r="I4115" s="12"/>
      <c r="N4115" s="12"/>
      <c r="S4115" s="12"/>
      <c r="X4115" s="12"/>
      <c r="AM4115" s="12"/>
    </row>
    <row r="4116" spans="9:39" x14ac:dyDescent="0.3">
      <c r="I4116" s="12"/>
      <c r="N4116" s="12"/>
      <c r="S4116" s="12"/>
      <c r="X4116" s="12"/>
      <c r="AM4116" s="12"/>
    </row>
    <row r="4117" spans="9:39" x14ac:dyDescent="0.3">
      <c r="I4117" s="12"/>
      <c r="N4117" s="12"/>
      <c r="S4117" s="12"/>
      <c r="X4117" s="12"/>
      <c r="AM4117" s="12"/>
    </row>
    <row r="4118" spans="9:39" x14ac:dyDescent="0.3">
      <c r="I4118" s="12"/>
      <c r="N4118" s="12"/>
      <c r="S4118" s="12"/>
      <c r="X4118" s="12"/>
      <c r="AM4118" s="12"/>
    </row>
    <row r="4119" spans="9:39" x14ac:dyDescent="0.3">
      <c r="I4119" s="12"/>
      <c r="N4119" s="12"/>
      <c r="S4119" s="12"/>
      <c r="X4119" s="12"/>
      <c r="AM4119" s="12"/>
    </row>
    <row r="4120" spans="9:39" x14ac:dyDescent="0.3">
      <c r="I4120" s="12"/>
      <c r="N4120" s="12"/>
      <c r="S4120" s="12"/>
      <c r="X4120" s="12"/>
      <c r="AM4120" s="12"/>
    </row>
    <row r="4121" spans="9:39" x14ac:dyDescent="0.3">
      <c r="I4121" s="12"/>
      <c r="N4121" s="12"/>
      <c r="S4121" s="12"/>
      <c r="X4121" s="12"/>
      <c r="AM4121" s="12"/>
    </row>
    <row r="4122" spans="9:39" x14ac:dyDescent="0.3">
      <c r="I4122" s="12"/>
      <c r="N4122" s="12"/>
      <c r="S4122" s="12"/>
      <c r="X4122" s="12"/>
      <c r="AM4122" s="12"/>
    </row>
    <row r="4123" spans="9:39" x14ac:dyDescent="0.3">
      <c r="I4123" s="12"/>
      <c r="N4123" s="12"/>
      <c r="S4123" s="12"/>
      <c r="X4123" s="12"/>
      <c r="AM4123" s="12"/>
    </row>
    <row r="4124" spans="9:39" x14ac:dyDescent="0.3">
      <c r="I4124" s="12"/>
      <c r="N4124" s="12"/>
      <c r="S4124" s="12"/>
      <c r="X4124" s="12"/>
      <c r="AM4124" s="12"/>
    </row>
    <row r="4125" spans="9:39" x14ac:dyDescent="0.3">
      <c r="I4125" s="12"/>
      <c r="N4125" s="12"/>
      <c r="S4125" s="12"/>
      <c r="X4125" s="12"/>
      <c r="AM4125" s="12"/>
    </row>
    <row r="4126" spans="9:39" x14ac:dyDescent="0.3">
      <c r="I4126" s="12"/>
      <c r="N4126" s="12"/>
      <c r="S4126" s="12"/>
      <c r="X4126" s="12"/>
      <c r="AM4126" s="12"/>
    </row>
    <row r="4127" spans="9:39" x14ac:dyDescent="0.3">
      <c r="I4127" s="12"/>
      <c r="N4127" s="12"/>
      <c r="S4127" s="12"/>
      <c r="X4127" s="12"/>
      <c r="AM4127" s="12"/>
    </row>
    <row r="4128" spans="9:39" x14ac:dyDescent="0.3">
      <c r="I4128" s="12"/>
      <c r="N4128" s="12"/>
      <c r="S4128" s="12"/>
      <c r="X4128" s="12"/>
      <c r="AM4128" s="12"/>
    </row>
    <row r="4129" spans="9:39" x14ac:dyDescent="0.3">
      <c r="I4129" s="12"/>
      <c r="N4129" s="12"/>
      <c r="S4129" s="12"/>
      <c r="X4129" s="12"/>
      <c r="AM4129" s="12"/>
    </row>
    <row r="4130" spans="9:39" x14ac:dyDescent="0.3">
      <c r="I4130" s="12"/>
      <c r="N4130" s="12"/>
      <c r="S4130" s="12"/>
      <c r="X4130" s="12"/>
      <c r="AM4130" s="12"/>
    </row>
    <row r="4131" spans="9:39" x14ac:dyDescent="0.3">
      <c r="I4131" s="12"/>
      <c r="N4131" s="12"/>
      <c r="S4131" s="12"/>
      <c r="X4131" s="12"/>
      <c r="AM4131" s="12"/>
    </row>
    <row r="4132" spans="9:39" x14ac:dyDescent="0.3">
      <c r="I4132" s="12"/>
      <c r="N4132" s="12"/>
      <c r="S4132" s="12"/>
      <c r="X4132" s="12"/>
      <c r="AM4132" s="12"/>
    </row>
    <row r="4133" spans="9:39" x14ac:dyDescent="0.3">
      <c r="I4133" s="12"/>
      <c r="N4133" s="12"/>
      <c r="S4133" s="12"/>
      <c r="X4133" s="12"/>
      <c r="AM4133" s="12"/>
    </row>
    <row r="4134" spans="9:39" x14ac:dyDescent="0.3">
      <c r="I4134" s="12"/>
      <c r="N4134" s="12"/>
      <c r="S4134" s="12"/>
      <c r="X4134" s="12"/>
      <c r="AM4134" s="12"/>
    </row>
    <row r="4135" spans="9:39" x14ac:dyDescent="0.3">
      <c r="I4135" s="12"/>
      <c r="N4135" s="12"/>
      <c r="S4135" s="12"/>
      <c r="X4135" s="12"/>
      <c r="AM4135" s="12"/>
    </row>
    <row r="4136" spans="9:39" x14ac:dyDescent="0.3">
      <c r="I4136" s="12"/>
      <c r="N4136" s="12"/>
      <c r="S4136" s="12"/>
      <c r="X4136" s="12"/>
      <c r="AM4136" s="12"/>
    </row>
    <row r="4137" spans="9:39" x14ac:dyDescent="0.3">
      <c r="I4137" s="12"/>
      <c r="N4137" s="12"/>
      <c r="S4137" s="12"/>
      <c r="X4137" s="12"/>
      <c r="AM4137" s="12"/>
    </row>
    <row r="4138" spans="9:39" x14ac:dyDescent="0.3">
      <c r="I4138" s="12"/>
      <c r="N4138" s="12"/>
      <c r="S4138" s="12"/>
      <c r="X4138" s="12"/>
      <c r="AM4138" s="12"/>
    </row>
    <row r="4139" spans="9:39" x14ac:dyDescent="0.3">
      <c r="I4139" s="12"/>
      <c r="N4139" s="12"/>
      <c r="S4139" s="12"/>
      <c r="X4139" s="12"/>
      <c r="AM4139" s="12"/>
    </row>
    <row r="4140" spans="9:39" x14ac:dyDescent="0.3">
      <c r="I4140" s="12"/>
      <c r="N4140" s="12"/>
      <c r="S4140" s="12"/>
      <c r="X4140" s="12"/>
      <c r="AM4140" s="12"/>
    </row>
    <row r="4141" spans="9:39" x14ac:dyDescent="0.3">
      <c r="I4141" s="12"/>
      <c r="N4141" s="12"/>
      <c r="S4141" s="12"/>
      <c r="X4141" s="12"/>
      <c r="AM4141" s="12"/>
    </row>
    <row r="4142" spans="9:39" x14ac:dyDescent="0.3">
      <c r="I4142" s="12"/>
      <c r="N4142" s="12"/>
      <c r="S4142" s="12"/>
      <c r="X4142" s="12"/>
      <c r="AM4142" s="12"/>
    </row>
    <row r="4143" spans="9:39" x14ac:dyDescent="0.3">
      <c r="I4143" s="12"/>
      <c r="N4143" s="12"/>
      <c r="S4143" s="12"/>
      <c r="X4143" s="12"/>
      <c r="AM4143" s="12"/>
    </row>
    <row r="4144" spans="9:39" x14ac:dyDescent="0.3">
      <c r="I4144" s="12"/>
      <c r="N4144" s="12"/>
      <c r="S4144" s="12"/>
      <c r="X4144" s="12"/>
      <c r="AM4144" s="12"/>
    </row>
    <row r="4145" spans="9:39" x14ac:dyDescent="0.3">
      <c r="I4145" s="12"/>
      <c r="N4145" s="12"/>
      <c r="S4145" s="12"/>
      <c r="X4145" s="12"/>
      <c r="AM4145" s="12"/>
    </row>
    <row r="4146" spans="9:39" x14ac:dyDescent="0.3">
      <c r="I4146" s="12"/>
      <c r="N4146" s="12"/>
      <c r="S4146" s="12"/>
      <c r="X4146" s="12"/>
      <c r="AM4146" s="12"/>
    </row>
    <row r="4147" spans="9:39" x14ac:dyDescent="0.3">
      <c r="I4147" s="12"/>
      <c r="N4147" s="12"/>
      <c r="S4147" s="12"/>
      <c r="X4147" s="12"/>
      <c r="AM4147" s="12"/>
    </row>
    <row r="4148" spans="9:39" x14ac:dyDescent="0.3">
      <c r="I4148" s="12"/>
      <c r="N4148" s="12"/>
      <c r="S4148" s="12"/>
      <c r="X4148" s="12"/>
      <c r="AM4148" s="12"/>
    </row>
    <row r="4149" spans="9:39" x14ac:dyDescent="0.3">
      <c r="I4149" s="12"/>
      <c r="N4149" s="12"/>
      <c r="S4149" s="12"/>
      <c r="X4149" s="12"/>
      <c r="AM4149" s="12"/>
    </row>
    <row r="4150" spans="9:39" x14ac:dyDescent="0.3">
      <c r="I4150" s="12"/>
      <c r="N4150" s="12"/>
      <c r="S4150" s="12"/>
      <c r="X4150" s="12"/>
      <c r="AM4150" s="12"/>
    </row>
    <row r="4151" spans="9:39" x14ac:dyDescent="0.3">
      <c r="I4151" s="12"/>
      <c r="N4151" s="12"/>
      <c r="S4151" s="12"/>
      <c r="X4151" s="12"/>
      <c r="AM4151" s="12"/>
    </row>
    <row r="4152" spans="9:39" x14ac:dyDescent="0.3">
      <c r="I4152" s="12"/>
      <c r="N4152" s="12"/>
      <c r="S4152" s="12"/>
      <c r="X4152" s="12"/>
      <c r="AM4152" s="12"/>
    </row>
    <row r="4153" spans="9:39" x14ac:dyDescent="0.3">
      <c r="I4153" s="12"/>
      <c r="N4153" s="12"/>
      <c r="S4153" s="12"/>
      <c r="X4153" s="12"/>
      <c r="AM4153" s="12"/>
    </row>
    <row r="4154" spans="9:39" x14ac:dyDescent="0.3">
      <c r="I4154" s="12"/>
      <c r="N4154" s="12"/>
      <c r="S4154" s="12"/>
      <c r="X4154" s="12"/>
      <c r="AM4154" s="12"/>
    </row>
    <row r="4155" spans="9:39" x14ac:dyDescent="0.3">
      <c r="I4155" s="12"/>
      <c r="N4155" s="12"/>
      <c r="S4155" s="12"/>
      <c r="X4155" s="12"/>
      <c r="AM4155" s="12"/>
    </row>
    <row r="4156" spans="9:39" x14ac:dyDescent="0.3">
      <c r="I4156" s="12"/>
      <c r="N4156" s="12"/>
      <c r="S4156" s="12"/>
      <c r="X4156" s="12"/>
      <c r="AM4156" s="12"/>
    </row>
    <row r="4157" spans="9:39" x14ac:dyDescent="0.3">
      <c r="I4157" s="12"/>
      <c r="N4157" s="12"/>
      <c r="S4157" s="12"/>
      <c r="X4157" s="12"/>
      <c r="AM4157" s="12"/>
    </row>
    <row r="4158" spans="9:39" x14ac:dyDescent="0.3">
      <c r="I4158" s="12"/>
      <c r="N4158" s="12"/>
      <c r="S4158" s="12"/>
      <c r="X4158" s="12"/>
      <c r="AM4158" s="12"/>
    </row>
    <row r="4159" spans="9:39" x14ac:dyDescent="0.3">
      <c r="I4159" s="12"/>
      <c r="N4159" s="12"/>
      <c r="S4159" s="12"/>
      <c r="X4159" s="12"/>
      <c r="AM4159" s="12"/>
    </row>
    <row r="4160" spans="9:39" x14ac:dyDescent="0.3">
      <c r="I4160" s="12"/>
      <c r="N4160" s="12"/>
      <c r="S4160" s="12"/>
      <c r="X4160" s="12"/>
      <c r="AM4160" s="12"/>
    </row>
    <row r="4161" spans="9:39" x14ac:dyDescent="0.3">
      <c r="I4161" s="12"/>
      <c r="N4161" s="12"/>
      <c r="S4161" s="12"/>
      <c r="X4161" s="12"/>
      <c r="AM4161" s="12"/>
    </row>
    <row r="4162" spans="9:39" x14ac:dyDescent="0.3">
      <c r="I4162" s="12"/>
      <c r="N4162" s="12"/>
      <c r="S4162" s="12"/>
      <c r="X4162" s="12"/>
      <c r="AM4162" s="12"/>
    </row>
    <row r="4163" spans="9:39" x14ac:dyDescent="0.3">
      <c r="I4163" s="12"/>
      <c r="N4163" s="12"/>
      <c r="S4163" s="12"/>
      <c r="X4163" s="12"/>
      <c r="AM4163" s="12"/>
    </row>
    <row r="4164" spans="9:39" x14ac:dyDescent="0.3">
      <c r="I4164" s="12"/>
      <c r="N4164" s="12"/>
      <c r="S4164" s="12"/>
      <c r="X4164" s="12"/>
      <c r="AM4164" s="12"/>
    </row>
    <row r="4165" spans="9:39" x14ac:dyDescent="0.3">
      <c r="I4165" s="12"/>
      <c r="N4165" s="12"/>
      <c r="S4165" s="12"/>
      <c r="X4165" s="12"/>
      <c r="AM4165" s="12"/>
    </row>
    <row r="4166" spans="9:39" x14ac:dyDescent="0.3">
      <c r="I4166" s="12"/>
      <c r="N4166" s="12"/>
      <c r="S4166" s="12"/>
      <c r="X4166" s="12"/>
      <c r="AM4166" s="12"/>
    </row>
    <row r="4167" spans="9:39" x14ac:dyDescent="0.3">
      <c r="I4167" s="12"/>
      <c r="N4167" s="12"/>
      <c r="S4167" s="12"/>
      <c r="X4167" s="12"/>
      <c r="AM4167" s="12"/>
    </row>
    <row r="4168" spans="9:39" x14ac:dyDescent="0.3">
      <c r="I4168" s="12"/>
      <c r="N4168" s="12"/>
      <c r="S4168" s="12"/>
      <c r="X4168" s="12"/>
      <c r="AM4168" s="12"/>
    </row>
    <row r="4169" spans="9:39" x14ac:dyDescent="0.3">
      <c r="I4169" s="12"/>
      <c r="N4169" s="12"/>
      <c r="S4169" s="12"/>
      <c r="X4169" s="12"/>
      <c r="AM4169" s="12"/>
    </row>
    <row r="4170" spans="9:39" x14ac:dyDescent="0.3">
      <c r="I4170" s="12"/>
      <c r="N4170" s="12"/>
      <c r="S4170" s="12"/>
      <c r="X4170" s="12"/>
      <c r="AM4170" s="12"/>
    </row>
    <row r="4171" spans="9:39" x14ac:dyDescent="0.3">
      <c r="I4171" s="12"/>
      <c r="N4171" s="12"/>
      <c r="S4171" s="12"/>
      <c r="X4171" s="12"/>
      <c r="AM4171" s="12"/>
    </row>
    <row r="4172" spans="9:39" x14ac:dyDescent="0.3">
      <c r="I4172" s="12"/>
      <c r="N4172" s="12"/>
      <c r="S4172" s="12"/>
      <c r="X4172" s="12"/>
      <c r="AM4172" s="12"/>
    </row>
    <row r="4173" spans="9:39" x14ac:dyDescent="0.3">
      <c r="I4173" s="12"/>
      <c r="N4173" s="12"/>
      <c r="S4173" s="12"/>
      <c r="X4173" s="12"/>
      <c r="AM4173" s="12"/>
    </row>
    <row r="4174" spans="9:39" x14ac:dyDescent="0.3">
      <c r="I4174" s="12"/>
      <c r="N4174" s="12"/>
      <c r="S4174" s="12"/>
      <c r="X4174" s="12"/>
      <c r="AM4174" s="12"/>
    </row>
    <row r="4175" spans="9:39" x14ac:dyDescent="0.3">
      <c r="I4175" s="12"/>
      <c r="N4175" s="12"/>
      <c r="S4175" s="12"/>
      <c r="X4175" s="12"/>
      <c r="AM4175" s="12"/>
    </row>
    <row r="4176" spans="9:39" x14ac:dyDescent="0.3">
      <c r="I4176" s="12"/>
      <c r="N4176" s="12"/>
      <c r="S4176" s="12"/>
      <c r="X4176" s="12"/>
      <c r="AM4176" s="12"/>
    </row>
    <row r="4177" spans="9:39" x14ac:dyDescent="0.3">
      <c r="I4177" s="12"/>
      <c r="N4177" s="12"/>
      <c r="S4177" s="12"/>
      <c r="X4177" s="12"/>
      <c r="AM4177" s="12"/>
    </row>
    <row r="4178" spans="9:39" x14ac:dyDescent="0.3">
      <c r="I4178" s="12"/>
      <c r="N4178" s="12"/>
      <c r="S4178" s="12"/>
      <c r="X4178" s="12"/>
      <c r="AM4178" s="12"/>
    </row>
    <row r="4179" spans="9:39" x14ac:dyDescent="0.3">
      <c r="I4179" s="12"/>
      <c r="N4179" s="12"/>
      <c r="S4179" s="12"/>
      <c r="X4179" s="12"/>
      <c r="AM4179" s="12"/>
    </row>
    <row r="4180" spans="9:39" x14ac:dyDescent="0.3">
      <c r="I4180" s="12"/>
      <c r="N4180" s="12"/>
      <c r="S4180" s="12"/>
      <c r="X4180" s="12"/>
      <c r="AM4180" s="12"/>
    </row>
    <row r="4181" spans="9:39" x14ac:dyDescent="0.3">
      <c r="I4181" s="12"/>
      <c r="N4181" s="12"/>
      <c r="S4181" s="12"/>
      <c r="X4181" s="12"/>
      <c r="AM4181" s="12"/>
    </row>
    <row r="4182" spans="9:39" x14ac:dyDescent="0.3">
      <c r="I4182" s="12"/>
      <c r="N4182" s="12"/>
      <c r="S4182" s="12"/>
      <c r="X4182" s="12"/>
      <c r="AM4182" s="12"/>
    </row>
    <row r="4183" spans="9:39" x14ac:dyDescent="0.3">
      <c r="I4183" s="12"/>
      <c r="N4183" s="12"/>
      <c r="S4183" s="12"/>
      <c r="X4183" s="12"/>
      <c r="AM4183" s="12"/>
    </row>
    <row r="4184" spans="9:39" x14ac:dyDescent="0.3">
      <c r="I4184" s="12"/>
      <c r="N4184" s="12"/>
      <c r="S4184" s="12"/>
      <c r="X4184" s="12"/>
      <c r="AM4184" s="12"/>
    </row>
    <row r="4185" spans="9:39" x14ac:dyDescent="0.3">
      <c r="I4185" s="12"/>
      <c r="N4185" s="12"/>
      <c r="S4185" s="12"/>
      <c r="X4185" s="12"/>
      <c r="AM4185" s="12"/>
    </row>
    <row r="4186" spans="9:39" x14ac:dyDescent="0.3">
      <c r="I4186" s="12"/>
      <c r="N4186" s="12"/>
      <c r="S4186" s="12"/>
      <c r="X4186" s="12"/>
      <c r="AM4186" s="12"/>
    </row>
    <row r="4187" spans="9:39" x14ac:dyDescent="0.3">
      <c r="I4187" s="12"/>
      <c r="N4187" s="12"/>
      <c r="S4187" s="12"/>
      <c r="X4187" s="12"/>
      <c r="AM4187" s="12"/>
    </row>
    <row r="4188" spans="9:39" x14ac:dyDescent="0.3">
      <c r="I4188" s="12"/>
      <c r="N4188" s="12"/>
      <c r="S4188" s="12"/>
      <c r="X4188" s="12"/>
      <c r="AM4188" s="12"/>
    </row>
    <row r="4189" spans="9:39" x14ac:dyDescent="0.3">
      <c r="I4189" s="12"/>
      <c r="N4189" s="12"/>
      <c r="S4189" s="12"/>
      <c r="X4189" s="12"/>
      <c r="AM4189" s="12"/>
    </row>
    <row r="4190" spans="9:39" x14ac:dyDescent="0.3">
      <c r="I4190" s="12"/>
      <c r="N4190" s="12"/>
      <c r="S4190" s="12"/>
      <c r="X4190" s="12"/>
      <c r="AM4190" s="12"/>
    </row>
    <row r="4191" spans="9:39" x14ac:dyDescent="0.3">
      <c r="I4191" s="12"/>
      <c r="N4191" s="12"/>
      <c r="S4191" s="12"/>
      <c r="X4191" s="12"/>
      <c r="AM4191" s="12"/>
    </row>
    <row r="4192" spans="9:39" x14ac:dyDescent="0.3">
      <c r="I4192" s="12"/>
      <c r="N4192" s="12"/>
      <c r="S4192" s="12"/>
      <c r="X4192" s="12"/>
      <c r="AM4192" s="12"/>
    </row>
    <row r="4193" spans="9:39" x14ac:dyDescent="0.3">
      <c r="I4193" s="12"/>
      <c r="N4193" s="12"/>
      <c r="S4193" s="12"/>
      <c r="X4193" s="12"/>
      <c r="AM4193" s="12"/>
    </row>
    <row r="4194" spans="9:39" x14ac:dyDescent="0.3">
      <c r="I4194" s="12"/>
      <c r="N4194" s="12"/>
      <c r="S4194" s="12"/>
      <c r="X4194" s="12"/>
      <c r="AM4194" s="12"/>
    </row>
    <row r="4195" spans="9:39" x14ac:dyDescent="0.3">
      <c r="I4195" s="12"/>
      <c r="N4195" s="12"/>
      <c r="S4195" s="12"/>
      <c r="X4195" s="12"/>
      <c r="AM4195" s="12"/>
    </row>
    <row r="4196" spans="9:39" x14ac:dyDescent="0.3">
      <c r="I4196" s="12"/>
      <c r="N4196" s="12"/>
      <c r="S4196" s="12"/>
      <c r="X4196" s="12"/>
      <c r="AM4196" s="12"/>
    </row>
    <row r="4197" spans="9:39" x14ac:dyDescent="0.3">
      <c r="I4197" s="12"/>
      <c r="N4197" s="12"/>
      <c r="S4197" s="12"/>
      <c r="X4197" s="12"/>
      <c r="AM4197" s="12"/>
    </row>
    <row r="4198" spans="9:39" x14ac:dyDescent="0.3">
      <c r="I4198" s="12"/>
      <c r="N4198" s="12"/>
      <c r="S4198" s="12"/>
      <c r="X4198" s="12"/>
      <c r="AM4198" s="12"/>
    </row>
    <row r="4199" spans="9:39" x14ac:dyDescent="0.3">
      <c r="I4199" s="12"/>
      <c r="N4199" s="12"/>
      <c r="S4199" s="12"/>
      <c r="X4199" s="12"/>
      <c r="AM4199" s="12"/>
    </row>
    <row r="4200" spans="9:39" x14ac:dyDescent="0.3">
      <c r="I4200" s="12"/>
      <c r="N4200" s="12"/>
      <c r="S4200" s="12"/>
      <c r="X4200" s="12"/>
      <c r="AM4200" s="12"/>
    </row>
    <row r="4201" spans="9:39" x14ac:dyDescent="0.3">
      <c r="I4201" s="12"/>
      <c r="N4201" s="12"/>
      <c r="S4201" s="12"/>
      <c r="X4201" s="12"/>
      <c r="AM4201" s="12"/>
    </row>
    <row r="4202" spans="9:39" x14ac:dyDescent="0.3">
      <c r="I4202" s="12"/>
      <c r="N4202" s="12"/>
      <c r="S4202" s="12"/>
      <c r="X4202" s="12"/>
      <c r="AM4202" s="12"/>
    </row>
    <row r="4203" spans="9:39" x14ac:dyDescent="0.3">
      <c r="I4203" s="12"/>
      <c r="N4203" s="12"/>
      <c r="S4203" s="12"/>
      <c r="X4203" s="12"/>
      <c r="AM4203" s="12"/>
    </row>
    <row r="4204" spans="9:39" x14ac:dyDescent="0.3">
      <c r="I4204" s="12"/>
      <c r="N4204" s="12"/>
      <c r="S4204" s="12"/>
      <c r="X4204" s="12"/>
      <c r="AM4204" s="12"/>
    </row>
    <row r="4205" spans="9:39" x14ac:dyDescent="0.3">
      <c r="I4205" s="12"/>
      <c r="N4205" s="12"/>
      <c r="S4205" s="12"/>
      <c r="X4205" s="12"/>
      <c r="AM4205" s="12"/>
    </row>
    <row r="4206" spans="9:39" x14ac:dyDescent="0.3">
      <c r="I4206" s="12"/>
      <c r="N4206" s="12"/>
      <c r="S4206" s="12"/>
      <c r="X4206" s="12"/>
      <c r="AM4206" s="12"/>
    </row>
    <row r="4207" spans="9:39" x14ac:dyDescent="0.3">
      <c r="I4207" s="12"/>
      <c r="N4207" s="12"/>
      <c r="S4207" s="12"/>
      <c r="X4207" s="12"/>
      <c r="AM4207" s="12"/>
    </row>
    <row r="4208" spans="9:39" x14ac:dyDescent="0.3">
      <c r="I4208" s="12"/>
      <c r="N4208" s="12"/>
      <c r="S4208" s="12"/>
      <c r="X4208" s="12"/>
      <c r="AM4208" s="12"/>
    </row>
    <row r="4209" spans="9:39" x14ac:dyDescent="0.3">
      <c r="I4209" s="12"/>
      <c r="N4209" s="12"/>
      <c r="S4209" s="12"/>
      <c r="X4209" s="12"/>
      <c r="AM4209" s="12"/>
    </row>
    <row r="4210" spans="9:39" x14ac:dyDescent="0.3">
      <c r="I4210" s="12"/>
      <c r="N4210" s="12"/>
      <c r="S4210" s="12"/>
      <c r="X4210" s="12"/>
      <c r="AM4210" s="12"/>
    </row>
    <row r="4211" spans="9:39" x14ac:dyDescent="0.3">
      <c r="I4211" s="12"/>
      <c r="N4211" s="12"/>
      <c r="S4211" s="12"/>
      <c r="X4211" s="12"/>
      <c r="AM4211" s="12"/>
    </row>
    <row r="4212" spans="9:39" x14ac:dyDescent="0.3">
      <c r="I4212" s="12"/>
      <c r="N4212" s="12"/>
      <c r="S4212" s="12"/>
      <c r="X4212" s="12"/>
      <c r="AM4212" s="12"/>
    </row>
    <row r="4213" spans="9:39" x14ac:dyDescent="0.3">
      <c r="I4213" s="12"/>
      <c r="N4213" s="12"/>
      <c r="S4213" s="12"/>
      <c r="X4213" s="12"/>
      <c r="AM4213" s="12"/>
    </row>
    <row r="4214" spans="9:39" x14ac:dyDescent="0.3">
      <c r="I4214" s="12"/>
      <c r="N4214" s="12"/>
      <c r="S4214" s="12"/>
      <c r="X4214" s="12"/>
      <c r="AM4214" s="12"/>
    </row>
    <row r="4215" spans="9:39" x14ac:dyDescent="0.3">
      <c r="I4215" s="12"/>
      <c r="N4215" s="12"/>
      <c r="S4215" s="12"/>
      <c r="X4215" s="12"/>
      <c r="AM4215" s="12"/>
    </row>
    <row r="4216" spans="9:39" x14ac:dyDescent="0.3">
      <c r="I4216" s="12"/>
      <c r="N4216" s="12"/>
      <c r="S4216" s="12"/>
      <c r="X4216" s="12"/>
      <c r="AM4216" s="12"/>
    </row>
    <row r="4217" spans="9:39" x14ac:dyDescent="0.3">
      <c r="I4217" s="12"/>
      <c r="N4217" s="12"/>
      <c r="S4217" s="12"/>
      <c r="X4217" s="12"/>
      <c r="AM4217" s="12"/>
    </row>
    <row r="4218" spans="9:39" x14ac:dyDescent="0.3">
      <c r="I4218" s="12"/>
      <c r="N4218" s="12"/>
      <c r="S4218" s="12"/>
      <c r="X4218" s="12"/>
      <c r="AM4218" s="12"/>
    </row>
    <row r="4219" spans="9:39" x14ac:dyDescent="0.3">
      <c r="I4219" s="12"/>
      <c r="N4219" s="12"/>
      <c r="S4219" s="12"/>
      <c r="X4219" s="12"/>
      <c r="AM4219" s="12"/>
    </row>
    <row r="4220" spans="9:39" x14ac:dyDescent="0.3">
      <c r="I4220" s="12"/>
      <c r="N4220" s="12"/>
      <c r="S4220" s="12"/>
      <c r="X4220" s="12"/>
      <c r="AM4220" s="12"/>
    </row>
    <row r="4221" spans="9:39" x14ac:dyDescent="0.3">
      <c r="I4221" s="12"/>
      <c r="N4221" s="12"/>
      <c r="S4221" s="12"/>
      <c r="X4221" s="12"/>
      <c r="AM4221" s="12"/>
    </row>
    <row r="4222" spans="9:39" x14ac:dyDescent="0.3">
      <c r="I4222" s="12"/>
      <c r="N4222" s="12"/>
      <c r="S4222" s="12"/>
      <c r="X4222" s="12"/>
      <c r="AM4222" s="12"/>
    </row>
    <row r="4223" spans="9:39" x14ac:dyDescent="0.3">
      <c r="I4223" s="12"/>
      <c r="N4223" s="12"/>
      <c r="S4223" s="12"/>
      <c r="X4223" s="12"/>
      <c r="AM4223" s="12"/>
    </row>
    <row r="4224" spans="9:39" x14ac:dyDescent="0.3">
      <c r="I4224" s="12"/>
      <c r="N4224" s="12"/>
      <c r="S4224" s="12"/>
      <c r="X4224" s="12"/>
      <c r="AM4224" s="12"/>
    </row>
    <row r="4225" spans="9:39" x14ac:dyDescent="0.3">
      <c r="I4225" s="12"/>
      <c r="N4225" s="12"/>
      <c r="S4225" s="12"/>
      <c r="X4225" s="12"/>
      <c r="AM4225" s="12"/>
    </row>
    <row r="4226" spans="9:39" x14ac:dyDescent="0.3">
      <c r="I4226" s="12"/>
      <c r="N4226" s="12"/>
      <c r="S4226" s="12"/>
      <c r="X4226" s="12"/>
      <c r="AM4226" s="12"/>
    </row>
    <row r="4227" spans="9:39" x14ac:dyDescent="0.3">
      <c r="I4227" s="12"/>
      <c r="N4227" s="12"/>
      <c r="S4227" s="12"/>
      <c r="X4227" s="12"/>
      <c r="AM4227" s="12"/>
    </row>
    <row r="4228" spans="9:39" x14ac:dyDescent="0.3">
      <c r="I4228" s="12"/>
      <c r="N4228" s="12"/>
      <c r="S4228" s="12"/>
      <c r="X4228" s="12"/>
      <c r="AM4228" s="12"/>
    </row>
    <row r="4229" spans="9:39" x14ac:dyDescent="0.3">
      <c r="I4229" s="12"/>
      <c r="N4229" s="12"/>
      <c r="S4229" s="12"/>
      <c r="X4229" s="12"/>
      <c r="AM4229" s="12"/>
    </row>
    <row r="4230" spans="9:39" x14ac:dyDescent="0.3">
      <c r="I4230" s="12"/>
      <c r="N4230" s="12"/>
      <c r="S4230" s="12"/>
      <c r="X4230" s="12"/>
      <c r="AM4230" s="12"/>
    </row>
    <row r="4231" spans="9:39" x14ac:dyDescent="0.3">
      <c r="I4231" s="12"/>
      <c r="N4231" s="12"/>
      <c r="S4231" s="12"/>
      <c r="X4231" s="12"/>
      <c r="AM4231" s="12"/>
    </row>
    <row r="4232" spans="9:39" x14ac:dyDescent="0.3">
      <c r="I4232" s="12"/>
      <c r="N4232" s="12"/>
      <c r="S4232" s="12"/>
      <c r="X4232" s="12"/>
      <c r="AM4232" s="12"/>
    </row>
    <row r="4233" spans="9:39" x14ac:dyDescent="0.3">
      <c r="I4233" s="12"/>
      <c r="N4233" s="12"/>
      <c r="S4233" s="12"/>
      <c r="X4233" s="12"/>
      <c r="AM4233" s="12"/>
    </row>
    <row r="4234" spans="9:39" x14ac:dyDescent="0.3">
      <c r="I4234" s="12"/>
      <c r="N4234" s="12"/>
      <c r="S4234" s="12"/>
      <c r="X4234" s="12"/>
      <c r="AM4234" s="12"/>
    </row>
    <row r="4235" spans="9:39" x14ac:dyDescent="0.3">
      <c r="I4235" s="12"/>
      <c r="N4235" s="12"/>
      <c r="S4235" s="12"/>
      <c r="X4235" s="12"/>
      <c r="AM4235" s="12"/>
    </row>
    <row r="4236" spans="9:39" x14ac:dyDescent="0.3">
      <c r="I4236" s="12"/>
      <c r="N4236" s="12"/>
      <c r="S4236" s="12"/>
      <c r="X4236" s="12"/>
      <c r="AM4236" s="12"/>
    </row>
    <row r="4237" spans="9:39" x14ac:dyDescent="0.3">
      <c r="I4237" s="12"/>
      <c r="N4237" s="12"/>
      <c r="S4237" s="12"/>
      <c r="X4237" s="12"/>
      <c r="AM4237" s="12"/>
    </row>
    <row r="4238" spans="9:39" x14ac:dyDescent="0.3">
      <c r="I4238" s="12"/>
      <c r="N4238" s="12"/>
      <c r="S4238" s="12"/>
      <c r="X4238" s="12"/>
      <c r="AM4238" s="12"/>
    </row>
    <row r="4239" spans="9:39" x14ac:dyDescent="0.3">
      <c r="I4239" s="12"/>
      <c r="N4239" s="12"/>
      <c r="S4239" s="12"/>
      <c r="X4239" s="12"/>
      <c r="AM4239" s="12"/>
    </row>
    <row r="4240" spans="9:39" x14ac:dyDescent="0.3">
      <c r="I4240" s="12"/>
      <c r="N4240" s="12"/>
      <c r="S4240" s="12"/>
      <c r="X4240" s="12"/>
      <c r="AM4240" s="12"/>
    </row>
    <row r="4241" spans="9:39" x14ac:dyDescent="0.3">
      <c r="I4241" s="12"/>
      <c r="N4241" s="12"/>
      <c r="S4241" s="12"/>
      <c r="X4241" s="12"/>
      <c r="AM4241" s="12"/>
    </row>
    <row r="4242" spans="9:39" x14ac:dyDescent="0.3">
      <c r="I4242" s="12"/>
      <c r="N4242" s="12"/>
      <c r="S4242" s="12"/>
      <c r="X4242" s="12"/>
      <c r="AM4242" s="12"/>
    </row>
    <row r="4243" spans="9:39" x14ac:dyDescent="0.3">
      <c r="I4243" s="12"/>
      <c r="N4243" s="12"/>
      <c r="S4243" s="12"/>
      <c r="X4243" s="12"/>
      <c r="AM4243" s="12"/>
    </row>
    <row r="4244" spans="9:39" x14ac:dyDescent="0.3">
      <c r="I4244" s="12"/>
      <c r="N4244" s="12"/>
      <c r="S4244" s="12"/>
      <c r="X4244" s="12"/>
      <c r="AM4244" s="12"/>
    </row>
    <row r="4245" spans="9:39" x14ac:dyDescent="0.3">
      <c r="I4245" s="12"/>
      <c r="N4245" s="12"/>
      <c r="S4245" s="12"/>
      <c r="X4245" s="12"/>
      <c r="AM4245" s="12"/>
    </row>
    <row r="4246" spans="9:39" x14ac:dyDescent="0.3">
      <c r="I4246" s="12"/>
      <c r="N4246" s="12"/>
      <c r="S4246" s="12"/>
      <c r="X4246" s="12"/>
      <c r="AM4246" s="12"/>
    </row>
    <row r="4247" spans="9:39" x14ac:dyDescent="0.3">
      <c r="I4247" s="12"/>
      <c r="N4247" s="12"/>
      <c r="S4247" s="12"/>
      <c r="X4247" s="12"/>
      <c r="AM4247" s="12"/>
    </row>
    <row r="4248" spans="9:39" x14ac:dyDescent="0.3">
      <c r="I4248" s="12"/>
      <c r="N4248" s="12"/>
      <c r="S4248" s="12"/>
      <c r="X4248" s="12"/>
      <c r="AM4248" s="12"/>
    </row>
    <row r="4249" spans="9:39" x14ac:dyDescent="0.3">
      <c r="I4249" s="12"/>
      <c r="N4249" s="12"/>
      <c r="S4249" s="12"/>
      <c r="X4249" s="12"/>
      <c r="AM4249" s="12"/>
    </row>
    <row r="4250" spans="9:39" x14ac:dyDescent="0.3">
      <c r="I4250" s="12"/>
      <c r="N4250" s="12"/>
      <c r="S4250" s="12"/>
      <c r="X4250" s="12"/>
      <c r="AM4250" s="12"/>
    </row>
    <row r="4251" spans="9:39" x14ac:dyDescent="0.3">
      <c r="I4251" s="12"/>
      <c r="N4251" s="12"/>
      <c r="S4251" s="12"/>
      <c r="X4251" s="12"/>
      <c r="AM4251" s="12"/>
    </row>
    <row r="4252" spans="9:39" x14ac:dyDescent="0.3">
      <c r="I4252" s="12"/>
      <c r="N4252" s="12"/>
      <c r="S4252" s="12"/>
      <c r="X4252" s="12"/>
      <c r="AM4252" s="12"/>
    </row>
    <row r="4253" spans="9:39" x14ac:dyDescent="0.3">
      <c r="I4253" s="12"/>
      <c r="N4253" s="12"/>
      <c r="S4253" s="12"/>
      <c r="X4253" s="12"/>
      <c r="AM4253" s="12"/>
    </row>
    <row r="4254" spans="9:39" x14ac:dyDescent="0.3">
      <c r="I4254" s="12"/>
      <c r="N4254" s="12"/>
      <c r="S4254" s="12"/>
      <c r="X4254" s="12"/>
      <c r="AM4254" s="12"/>
    </row>
    <row r="4255" spans="9:39" x14ac:dyDescent="0.3">
      <c r="I4255" s="12"/>
      <c r="N4255" s="12"/>
      <c r="S4255" s="12"/>
      <c r="X4255" s="12"/>
      <c r="AM4255" s="12"/>
    </row>
    <row r="4256" spans="9:39" x14ac:dyDescent="0.3">
      <c r="I4256" s="12"/>
      <c r="N4256" s="12"/>
      <c r="S4256" s="12"/>
      <c r="X4256" s="12"/>
      <c r="AM4256" s="12"/>
    </row>
    <row r="4257" spans="9:39" x14ac:dyDescent="0.3">
      <c r="I4257" s="12"/>
      <c r="N4257" s="12"/>
      <c r="S4257" s="12"/>
      <c r="X4257" s="12"/>
      <c r="AM4257" s="12"/>
    </row>
    <row r="4258" spans="9:39" x14ac:dyDescent="0.3">
      <c r="I4258" s="12"/>
      <c r="N4258" s="12"/>
      <c r="S4258" s="12"/>
      <c r="X4258" s="12"/>
      <c r="AM4258" s="12"/>
    </row>
    <row r="4259" spans="9:39" x14ac:dyDescent="0.3">
      <c r="I4259" s="12"/>
      <c r="N4259" s="12"/>
      <c r="S4259" s="12"/>
      <c r="X4259" s="12"/>
      <c r="AM4259" s="12"/>
    </row>
    <row r="4260" spans="9:39" x14ac:dyDescent="0.3">
      <c r="I4260" s="12"/>
      <c r="N4260" s="12"/>
      <c r="S4260" s="12"/>
      <c r="X4260" s="12"/>
      <c r="AM4260" s="12"/>
    </row>
    <row r="4261" spans="9:39" x14ac:dyDescent="0.3">
      <c r="I4261" s="12"/>
      <c r="N4261" s="12"/>
      <c r="S4261" s="12"/>
      <c r="X4261" s="12"/>
      <c r="AM4261" s="12"/>
    </row>
    <row r="4262" spans="9:39" x14ac:dyDescent="0.3">
      <c r="I4262" s="12"/>
      <c r="N4262" s="12"/>
      <c r="S4262" s="12"/>
      <c r="X4262" s="12"/>
      <c r="AM4262" s="12"/>
    </row>
    <row r="4263" spans="9:39" x14ac:dyDescent="0.3">
      <c r="I4263" s="12"/>
      <c r="N4263" s="12"/>
      <c r="S4263" s="12"/>
      <c r="X4263" s="12"/>
      <c r="AM4263" s="12"/>
    </row>
    <row r="4264" spans="9:39" x14ac:dyDescent="0.3">
      <c r="I4264" s="12"/>
      <c r="N4264" s="12"/>
      <c r="S4264" s="12"/>
      <c r="X4264" s="12"/>
      <c r="AM4264" s="12"/>
    </row>
    <row r="4265" spans="9:39" x14ac:dyDescent="0.3">
      <c r="I4265" s="12"/>
      <c r="N4265" s="12"/>
      <c r="S4265" s="12"/>
      <c r="X4265" s="12"/>
      <c r="AM4265" s="12"/>
    </row>
    <row r="4266" spans="9:39" x14ac:dyDescent="0.3">
      <c r="I4266" s="12"/>
      <c r="N4266" s="12"/>
      <c r="S4266" s="12"/>
      <c r="X4266" s="12"/>
      <c r="AM4266" s="12"/>
    </row>
    <row r="4267" spans="9:39" x14ac:dyDescent="0.3">
      <c r="I4267" s="12"/>
      <c r="N4267" s="12"/>
      <c r="S4267" s="12"/>
      <c r="X4267" s="12"/>
      <c r="AM4267" s="12"/>
    </row>
    <row r="4268" spans="9:39" x14ac:dyDescent="0.3">
      <c r="I4268" s="12"/>
      <c r="N4268" s="12"/>
      <c r="S4268" s="12"/>
      <c r="X4268" s="12"/>
      <c r="AM4268" s="12"/>
    </row>
    <row r="4269" spans="9:39" x14ac:dyDescent="0.3">
      <c r="I4269" s="12"/>
      <c r="N4269" s="12"/>
      <c r="S4269" s="12"/>
      <c r="X4269" s="12"/>
      <c r="AM4269" s="12"/>
    </row>
    <row r="4270" spans="9:39" x14ac:dyDescent="0.3">
      <c r="I4270" s="12"/>
      <c r="N4270" s="12"/>
      <c r="S4270" s="12"/>
      <c r="X4270" s="12"/>
      <c r="AM4270" s="12"/>
    </row>
    <row r="4271" spans="9:39" x14ac:dyDescent="0.3">
      <c r="I4271" s="12"/>
      <c r="N4271" s="12"/>
      <c r="S4271" s="12"/>
      <c r="X4271" s="12"/>
      <c r="AM4271" s="12"/>
    </row>
    <row r="4272" spans="9:39" x14ac:dyDescent="0.3">
      <c r="I4272" s="12"/>
      <c r="N4272" s="12"/>
      <c r="S4272" s="12"/>
      <c r="X4272" s="12"/>
      <c r="AM4272" s="12"/>
    </row>
    <row r="4273" spans="9:39" x14ac:dyDescent="0.3">
      <c r="I4273" s="12"/>
      <c r="N4273" s="12"/>
      <c r="S4273" s="12"/>
      <c r="X4273" s="12"/>
      <c r="AM4273" s="12"/>
    </row>
    <row r="4274" spans="9:39" x14ac:dyDescent="0.3">
      <c r="I4274" s="12"/>
      <c r="N4274" s="12"/>
      <c r="S4274" s="12"/>
      <c r="X4274" s="12"/>
      <c r="AM4274" s="12"/>
    </row>
    <row r="4275" spans="9:39" x14ac:dyDescent="0.3">
      <c r="I4275" s="12"/>
      <c r="N4275" s="12"/>
      <c r="S4275" s="12"/>
      <c r="X4275" s="12"/>
      <c r="AM4275" s="12"/>
    </row>
    <row r="4276" spans="9:39" x14ac:dyDescent="0.3">
      <c r="I4276" s="12"/>
      <c r="N4276" s="12"/>
      <c r="S4276" s="12"/>
      <c r="X4276" s="12"/>
      <c r="AM4276" s="12"/>
    </row>
    <row r="4277" spans="9:39" x14ac:dyDescent="0.3">
      <c r="I4277" s="12"/>
      <c r="N4277" s="12"/>
      <c r="S4277" s="12"/>
      <c r="X4277" s="12"/>
      <c r="AM4277" s="12"/>
    </row>
    <row r="4278" spans="9:39" x14ac:dyDescent="0.3">
      <c r="I4278" s="12"/>
      <c r="N4278" s="12"/>
      <c r="S4278" s="12"/>
      <c r="X4278" s="12"/>
      <c r="AM4278" s="12"/>
    </row>
    <row r="4279" spans="9:39" x14ac:dyDescent="0.3">
      <c r="I4279" s="12"/>
      <c r="N4279" s="12"/>
      <c r="S4279" s="12"/>
      <c r="X4279" s="12"/>
      <c r="AM4279" s="12"/>
    </row>
    <row r="4280" spans="9:39" x14ac:dyDescent="0.3">
      <c r="I4280" s="12"/>
      <c r="N4280" s="12"/>
      <c r="S4280" s="12"/>
      <c r="X4280" s="12"/>
      <c r="AM4280" s="12"/>
    </row>
    <row r="4281" spans="9:39" x14ac:dyDescent="0.3">
      <c r="I4281" s="12"/>
      <c r="N4281" s="12"/>
      <c r="S4281" s="12"/>
      <c r="X4281" s="12"/>
      <c r="AM4281" s="12"/>
    </row>
    <row r="4282" spans="9:39" x14ac:dyDescent="0.3">
      <c r="I4282" s="12"/>
      <c r="N4282" s="12"/>
      <c r="S4282" s="12"/>
      <c r="X4282" s="12"/>
      <c r="AM4282" s="12"/>
    </row>
    <row r="4283" spans="9:39" x14ac:dyDescent="0.3">
      <c r="I4283" s="12"/>
      <c r="N4283" s="12"/>
      <c r="S4283" s="12"/>
      <c r="X4283" s="12"/>
      <c r="AM4283" s="12"/>
    </row>
    <row r="4284" spans="9:39" x14ac:dyDescent="0.3">
      <c r="I4284" s="12"/>
      <c r="N4284" s="12"/>
      <c r="S4284" s="12"/>
      <c r="X4284" s="12"/>
      <c r="AM4284" s="12"/>
    </row>
    <row r="4285" spans="9:39" x14ac:dyDescent="0.3">
      <c r="I4285" s="12"/>
      <c r="N4285" s="12"/>
      <c r="S4285" s="12"/>
      <c r="X4285" s="12"/>
      <c r="AM4285" s="12"/>
    </row>
    <row r="4286" spans="9:39" x14ac:dyDescent="0.3">
      <c r="I4286" s="12"/>
      <c r="N4286" s="12"/>
      <c r="S4286" s="12"/>
      <c r="X4286" s="12"/>
      <c r="AM4286" s="12"/>
    </row>
    <row r="4287" spans="9:39" x14ac:dyDescent="0.3">
      <c r="I4287" s="12"/>
      <c r="N4287" s="12"/>
      <c r="S4287" s="12"/>
      <c r="X4287" s="12"/>
      <c r="AM4287" s="12"/>
    </row>
    <row r="4288" spans="9:39" x14ac:dyDescent="0.3">
      <c r="I4288" s="12"/>
      <c r="N4288" s="12"/>
      <c r="S4288" s="12"/>
      <c r="X4288" s="12"/>
      <c r="AM4288" s="12"/>
    </row>
    <row r="4289" spans="9:39" x14ac:dyDescent="0.3">
      <c r="I4289" s="12"/>
      <c r="N4289" s="12"/>
      <c r="S4289" s="12"/>
      <c r="X4289" s="12"/>
      <c r="AM4289" s="12"/>
    </row>
    <row r="4290" spans="9:39" x14ac:dyDescent="0.3">
      <c r="I4290" s="12"/>
      <c r="N4290" s="12"/>
      <c r="S4290" s="12"/>
      <c r="X4290" s="12"/>
      <c r="AM4290" s="12"/>
    </row>
    <row r="4291" spans="9:39" x14ac:dyDescent="0.3">
      <c r="I4291" s="12"/>
      <c r="N4291" s="12"/>
      <c r="S4291" s="12"/>
      <c r="X4291" s="12"/>
      <c r="AM4291" s="12"/>
    </row>
    <row r="4292" spans="9:39" x14ac:dyDescent="0.3">
      <c r="I4292" s="12"/>
      <c r="N4292" s="12"/>
      <c r="S4292" s="12"/>
      <c r="X4292" s="12"/>
      <c r="AM4292" s="12"/>
    </row>
    <row r="4293" spans="9:39" x14ac:dyDescent="0.3">
      <c r="I4293" s="12"/>
      <c r="N4293" s="12"/>
      <c r="S4293" s="12"/>
      <c r="X4293" s="12"/>
      <c r="AM4293" s="12"/>
    </row>
    <row r="4294" spans="9:39" x14ac:dyDescent="0.3">
      <c r="I4294" s="12"/>
      <c r="N4294" s="12"/>
      <c r="S4294" s="12"/>
      <c r="X4294" s="12"/>
      <c r="AM4294" s="12"/>
    </row>
    <row r="4295" spans="9:39" x14ac:dyDescent="0.3">
      <c r="I4295" s="12"/>
      <c r="N4295" s="12"/>
      <c r="S4295" s="12"/>
      <c r="X4295" s="12"/>
      <c r="AM4295" s="12"/>
    </row>
    <row r="4296" spans="9:39" x14ac:dyDescent="0.3">
      <c r="I4296" s="12"/>
      <c r="N4296" s="12"/>
      <c r="S4296" s="12"/>
      <c r="X4296" s="12"/>
      <c r="AM4296" s="12"/>
    </row>
    <row r="4297" spans="9:39" x14ac:dyDescent="0.3">
      <c r="I4297" s="12"/>
      <c r="N4297" s="12"/>
      <c r="S4297" s="12"/>
      <c r="X4297" s="12"/>
      <c r="AM4297" s="12"/>
    </row>
    <row r="4298" spans="9:39" x14ac:dyDescent="0.3">
      <c r="I4298" s="12"/>
      <c r="N4298" s="12"/>
      <c r="S4298" s="12"/>
      <c r="X4298" s="12"/>
      <c r="AM4298" s="12"/>
    </row>
    <row r="4299" spans="9:39" x14ac:dyDescent="0.3">
      <c r="I4299" s="12"/>
      <c r="N4299" s="12"/>
      <c r="S4299" s="12"/>
      <c r="X4299" s="12"/>
      <c r="AM4299" s="12"/>
    </row>
    <row r="4300" spans="9:39" x14ac:dyDescent="0.3">
      <c r="I4300" s="12"/>
      <c r="N4300" s="12"/>
      <c r="S4300" s="12"/>
      <c r="X4300" s="12"/>
      <c r="AM4300" s="12"/>
    </row>
    <row r="4301" spans="9:39" x14ac:dyDescent="0.3">
      <c r="I4301" s="12"/>
      <c r="N4301" s="12"/>
      <c r="S4301" s="12"/>
      <c r="X4301" s="12"/>
      <c r="AM4301" s="12"/>
    </row>
    <row r="4302" spans="9:39" x14ac:dyDescent="0.3">
      <c r="I4302" s="12"/>
      <c r="N4302" s="12"/>
      <c r="S4302" s="12"/>
      <c r="X4302" s="12"/>
      <c r="AM4302" s="12"/>
    </row>
    <row r="4303" spans="9:39" x14ac:dyDescent="0.3">
      <c r="I4303" s="12"/>
      <c r="N4303" s="12"/>
      <c r="S4303" s="12"/>
      <c r="X4303" s="12"/>
      <c r="AM4303" s="12"/>
    </row>
    <row r="4304" spans="9:39" x14ac:dyDescent="0.3">
      <c r="I4304" s="12"/>
      <c r="N4304" s="12"/>
      <c r="S4304" s="12"/>
      <c r="X4304" s="12"/>
      <c r="AM4304" s="12"/>
    </row>
    <row r="4305" spans="9:39" x14ac:dyDescent="0.3">
      <c r="I4305" s="12"/>
      <c r="N4305" s="12"/>
      <c r="S4305" s="12"/>
      <c r="X4305" s="12"/>
      <c r="AM4305" s="12"/>
    </row>
    <row r="4306" spans="9:39" x14ac:dyDescent="0.3">
      <c r="I4306" s="12"/>
      <c r="N4306" s="12"/>
      <c r="S4306" s="12"/>
      <c r="X4306" s="12"/>
      <c r="AM4306" s="12"/>
    </row>
    <row r="4307" spans="9:39" x14ac:dyDescent="0.3">
      <c r="I4307" s="12"/>
      <c r="N4307" s="12"/>
      <c r="S4307" s="12"/>
      <c r="X4307" s="12"/>
      <c r="AM4307" s="12"/>
    </row>
    <row r="4308" spans="9:39" x14ac:dyDescent="0.3">
      <c r="I4308" s="12"/>
      <c r="N4308" s="12"/>
      <c r="S4308" s="12"/>
      <c r="X4308" s="12"/>
      <c r="AM4308" s="12"/>
    </row>
    <row r="4309" spans="9:39" x14ac:dyDescent="0.3">
      <c r="I4309" s="12"/>
      <c r="N4309" s="12"/>
      <c r="S4309" s="12"/>
      <c r="X4309" s="12"/>
      <c r="AM4309" s="12"/>
    </row>
    <row r="4310" spans="9:39" x14ac:dyDescent="0.3">
      <c r="I4310" s="12"/>
      <c r="N4310" s="12"/>
      <c r="S4310" s="12"/>
      <c r="X4310" s="12"/>
      <c r="AM4310" s="12"/>
    </row>
    <row r="4311" spans="9:39" x14ac:dyDescent="0.3">
      <c r="I4311" s="12"/>
      <c r="N4311" s="12"/>
      <c r="S4311" s="12"/>
      <c r="X4311" s="12"/>
      <c r="AM4311" s="12"/>
    </row>
    <row r="4312" spans="9:39" x14ac:dyDescent="0.3">
      <c r="I4312" s="12"/>
      <c r="N4312" s="12"/>
      <c r="S4312" s="12"/>
      <c r="X4312" s="12"/>
      <c r="AM4312" s="12"/>
    </row>
    <row r="4313" spans="9:39" x14ac:dyDescent="0.3">
      <c r="I4313" s="12"/>
      <c r="N4313" s="12"/>
      <c r="S4313" s="12"/>
      <c r="X4313" s="12"/>
      <c r="AM4313" s="12"/>
    </row>
    <row r="4314" spans="9:39" x14ac:dyDescent="0.3">
      <c r="I4314" s="12"/>
      <c r="N4314" s="12"/>
      <c r="S4314" s="12"/>
      <c r="X4314" s="12"/>
      <c r="AM4314" s="12"/>
    </row>
    <row r="4315" spans="9:39" x14ac:dyDescent="0.3">
      <c r="I4315" s="12"/>
      <c r="N4315" s="12"/>
      <c r="S4315" s="12"/>
      <c r="X4315" s="12"/>
      <c r="AM4315" s="12"/>
    </row>
    <row r="4316" spans="9:39" x14ac:dyDescent="0.3">
      <c r="I4316" s="12"/>
      <c r="N4316" s="12"/>
      <c r="S4316" s="12"/>
      <c r="X4316" s="12"/>
      <c r="AM4316" s="12"/>
    </row>
    <row r="4317" spans="9:39" x14ac:dyDescent="0.3">
      <c r="I4317" s="12"/>
      <c r="N4317" s="12"/>
      <c r="S4317" s="12"/>
      <c r="X4317" s="12"/>
      <c r="AM4317" s="12"/>
    </row>
    <row r="4318" spans="9:39" x14ac:dyDescent="0.3">
      <c r="I4318" s="12"/>
      <c r="N4318" s="12"/>
      <c r="S4318" s="12"/>
      <c r="X4318" s="12"/>
      <c r="AM4318" s="12"/>
    </row>
    <row r="4319" spans="9:39" x14ac:dyDescent="0.3">
      <c r="I4319" s="12"/>
      <c r="N4319" s="12"/>
      <c r="S4319" s="12"/>
      <c r="X4319" s="12"/>
      <c r="AM4319" s="12"/>
    </row>
    <row r="4320" spans="9:39" x14ac:dyDescent="0.3">
      <c r="I4320" s="12"/>
      <c r="N4320" s="12"/>
      <c r="S4320" s="12"/>
      <c r="X4320" s="12"/>
      <c r="AM4320" s="12"/>
    </row>
    <row r="4321" spans="9:39" x14ac:dyDescent="0.3">
      <c r="I4321" s="12"/>
      <c r="N4321" s="12"/>
      <c r="S4321" s="12"/>
      <c r="X4321" s="12"/>
      <c r="AM4321" s="12"/>
    </row>
    <row r="4322" spans="9:39" x14ac:dyDescent="0.3">
      <c r="I4322" s="12"/>
      <c r="N4322" s="12"/>
      <c r="S4322" s="12"/>
      <c r="X4322" s="12"/>
      <c r="AM4322" s="12"/>
    </row>
    <row r="4323" spans="9:39" x14ac:dyDescent="0.3">
      <c r="I4323" s="12"/>
      <c r="N4323" s="12"/>
      <c r="S4323" s="12"/>
      <c r="X4323" s="12"/>
      <c r="AM4323" s="12"/>
    </row>
    <row r="4324" spans="9:39" x14ac:dyDescent="0.3">
      <c r="I4324" s="12"/>
      <c r="N4324" s="12"/>
      <c r="S4324" s="12"/>
      <c r="X4324" s="12"/>
      <c r="AM4324" s="12"/>
    </row>
    <row r="4325" spans="9:39" x14ac:dyDescent="0.3">
      <c r="I4325" s="12"/>
      <c r="N4325" s="12"/>
      <c r="S4325" s="12"/>
      <c r="X4325" s="12"/>
      <c r="AM4325" s="12"/>
    </row>
    <row r="4326" spans="9:39" x14ac:dyDescent="0.3">
      <c r="I4326" s="12"/>
      <c r="N4326" s="12"/>
      <c r="S4326" s="12"/>
      <c r="X4326" s="12"/>
      <c r="AM4326" s="12"/>
    </row>
    <row r="4327" spans="9:39" x14ac:dyDescent="0.3">
      <c r="I4327" s="12"/>
      <c r="N4327" s="12"/>
      <c r="S4327" s="12"/>
      <c r="X4327" s="12"/>
      <c r="AM4327" s="12"/>
    </row>
    <row r="4328" spans="9:39" x14ac:dyDescent="0.3">
      <c r="I4328" s="12"/>
      <c r="N4328" s="12"/>
      <c r="S4328" s="12"/>
      <c r="X4328" s="12"/>
      <c r="AM4328" s="12"/>
    </row>
    <row r="4329" spans="9:39" x14ac:dyDescent="0.3">
      <c r="I4329" s="12"/>
      <c r="N4329" s="12"/>
      <c r="S4329" s="12"/>
      <c r="X4329" s="12"/>
      <c r="AM4329" s="12"/>
    </row>
    <row r="4330" spans="9:39" x14ac:dyDescent="0.3">
      <c r="I4330" s="12"/>
      <c r="N4330" s="12"/>
      <c r="S4330" s="12"/>
      <c r="X4330" s="12"/>
      <c r="AM4330" s="12"/>
    </row>
    <row r="4331" spans="9:39" x14ac:dyDescent="0.3">
      <c r="I4331" s="12"/>
      <c r="N4331" s="12"/>
      <c r="S4331" s="12"/>
      <c r="X4331" s="12"/>
      <c r="AM4331" s="12"/>
    </row>
    <row r="4332" spans="9:39" x14ac:dyDescent="0.3">
      <c r="I4332" s="12"/>
      <c r="N4332" s="12"/>
      <c r="S4332" s="12"/>
      <c r="X4332" s="12"/>
      <c r="AM4332" s="12"/>
    </row>
    <row r="4333" spans="9:39" x14ac:dyDescent="0.3">
      <c r="I4333" s="12"/>
      <c r="N4333" s="12"/>
      <c r="S4333" s="12"/>
      <c r="X4333" s="12"/>
      <c r="AM4333" s="12"/>
    </row>
    <row r="4334" spans="9:39" x14ac:dyDescent="0.3">
      <c r="I4334" s="12"/>
      <c r="N4334" s="12"/>
      <c r="S4334" s="12"/>
      <c r="X4334" s="12"/>
      <c r="AM4334" s="12"/>
    </row>
    <row r="4335" spans="9:39" x14ac:dyDescent="0.3">
      <c r="I4335" s="12"/>
      <c r="N4335" s="12"/>
      <c r="S4335" s="12"/>
      <c r="X4335" s="12"/>
      <c r="AM4335" s="12"/>
    </row>
    <row r="4336" spans="9:39" x14ac:dyDescent="0.3">
      <c r="I4336" s="12"/>
      <c r="N4336" s="12"/>
      <c r="S4336" s="12"/>
      <c r="X4336" s="12"/>
      <c r="AM4336" s="12"/>
    </row>
    <row r="4337" spans="9:39" x14ac:dyDescent="0.3">
      <c r="I4337" s="12"/>
      <c r="N4337" s="12"/>
      <c r="S4337" s="12"/>
      <c r="X4337" s="12"/>
      <c r="AM4337" s="12"/>
    </row>
    <row r="4338" spans="9:39" x14ac:dyDescent="0.3">
      <c r="I4338" s="12"/>
      <c r="N4338" s="12"/>
      <c r="S4338" s="12"/>
      <c r="X4338" s="12"/>
      <c r="AM4338" s="12"/>
    </row>
    <row r="4339" spans="9:39" x14ac:dyDescent="0.3">
      <c r="I4339" s="12"/>
      <c r="N4339" s="12"/>
      <c r="S4339" s="12"/>
      <c r="X4339" s="12"/>
      <c r="AM4339" s="12"/>
    </row>
    <row r="4340" spans="9:39" x14ac:dyDescent="0.3">
      <c r="I4340" s="12"/>
      <c r="N4340" s="12"/>
      <c r="S4340" s="12"/>
      <c r="X4340" s="12"/>
      <c r="AM4340" s="12"/>
    </row>
    <row r="4341" spans="9:39" x14ac:dyDescent="0.3">
      <c r="I4341" s="12"/>
      <c r="N4341" s="12"/>
      <c r="S4341" s="12"/>
      <c r="X4341" s="12"/>
      <c r="AM4341" s="12"/>
    </row>
    <row r="4342" spans="9:39" x14ac:dyDescent="0.3">
      <c r="I4342" s="12"/>
      <c r="N4342" s="12"/>
      <c r="S4342" s="12"/>
      <c r="X4342" s="12"/>
      <c r="AM4342" s="12"/>
    </row>
    <row r="4343" spans="9:39" x14ac:dyDescent="0.3">
      <c r="I4343" s="12"/>
      <c r="N4343" s="12"/>
      <c r="S4343" s="12"/>
      <c r="X4343" s="12"/>
      <c r="AM4343" s="12"/>
    </row>
    <row r="4344" spans="9:39" x14ac:dyDescent="0.3">
      <c r="I4344" s="12"/>
      <c r="N4344" s="12"/>
      <c r="S4344" s="12"/>
      <c r="X4344" s="12"/>
      <c r="AM4344" s="12"/>
    </row>
    <row r="4345" spans="9:39" x14ac:dyDescent="0.3">
      <c r="I4345" s="12"/>
      <c r="N4345" s="12"/>
      <c r="S4345" s="12"/>
      <c r="X4345" s="12"/>
      <c r="AM4345" s="12"/>
    </row>
    <row r="4346" spans="9:39" x14ac:dyDescent="0.3">
      <c r="I4346" s="12"/>
      <c r="N4346" s="12"/>
      <c r="S4346" s="12"/>
      <c r="X4346" s="12"/>
      <c r="AM4346" s="12"/>
    </row>
    <row r="4347" spans="9:39" x14ac:dyDescent="0.3">
      <c r="I4347" s="12"/>
      <c r="N4347" s="12"/>
      <c r="S4347" s="12"/>
      <c r="X4347" s="12"/>
      <c r="AM4347" s="12"/>
    </row>
    <row r="4348" spans="9:39" x14ac:dyDescent="0.3">
      <c r="I4348" s="12"/>
      <c r="N4348" s="12"/>
      <c r="S4348" s="12"/>
      <c r="X4348" s="12"/>
      <c r="AM4348" s="12"/>
    </row>
    <row r="4349" spans="9:39" x14ac:dyDescent="0.3">
      <c r="I4349" s="12"/>
      <c r="N4349" s="12"/>
      <c r="S4349" s="12"/>
      <c r="X4349" s="12"/>
      <c r="AM4349" s="12"/>
    </row>
    <row r="4350" spans="9:39" x14ac:dyDescent="0.3">
      <c r="I4350" s="12"/>
      <c r="N4350" s="12"/>
      <c r="S4350" s="12"/>
      <c r="X4350" s="12"/>
      <c r="AM4350" s="12"/>
    </row>
    <row r="4351" spans="9:39" x14ac:dyDescent="0.3">
      <c r="I4351" s="12"/>
      <c r="N4351" s="12"/>
      <c r="S4351" s="12"/>
      <c r="X4351" s="12"/>
      <c r="AM4351" s="12"/>
    </row>
    <row r="4352" spans="9:39" x14ac:dyDescent="0.3">
      <c r="I4352" s="12"/>
      <c r="N4352" s="12"/>
      <c r="S4352" s="12"/>
      <c r="X4352" s="12"/>
      <c r="AM4352" s="12"/>
    </row>
    <row r="4353" spans="9:39" x14ac:dyDescent="0.3">
      <c r="I4353" s="12"/>
      <c r="N4353" s="12"/>
      <c r="S4353" s="12"/>
      <c r="X4353" s="12"/>
      <c r="AM4353" s="12"/>
    </row>
    <row r="4354" spans="9:39" x14ac:dyDescent="0.3">
      <c r="I4354" s="12"/>
      <c r="N4354" s="12"/>
      <c r="S4354" s="12"/>
      <c r="X4354" s="12"/>
      <c r="AM4354" s="12"/>
    </row>
    <row r="4355" spans="9:39" x14ac:dyDescent="0.3">
      <c r="I4355" s="12"/>
      <c r="N4355" s="12"/>
      <c r="S4355" s="12"/>
      <c r="X4355" s="12"/>
      <c r="AM4355" s="12"/>
    </row>
    <row r="4356" spans="9:39" x14ac:dyDescent="0.3">
      <c r="I4356" s="12"/>
      <c r="N4356" s="12"/>
      <c r="S4356" s="12"/>
      <c r="X4356" s="12"/>
      <c r="AM4356" s="12"/>
    </row>
    <row r="4357" spans="9:39" x14ac:dyDescent="0.3">
      <c r="I4357" s="12"/>
      <c r="N4357" s="12"/>
      <c r="S4357" s="12"/>
      <c r="X4357" s="12"/>
      <c r="AM4357" s="12"/>
    </row>
    <row r="4358" spans="9:39" x14ac:dyDescent="0.3">
      <c r="I4358" s="12"/>
      <c r="N4358" s="12"/>
      <c r="S4358" s="12"/>
      <c r="X4358" s="12"/>
      <c r="AM4358" s="12"/>
    </row>
    <row r="4359" spans="9:39" x14ac:dyDescent="0.3">
      <c r="I4359" s="12"/>
      <c r="N4359" s="12"/>
      <c r="S4359" s="12"/>
      <c r="X4359" s="12"/>
      <c r="AM4359" s="12"/>
    </row>
    <row r="4360" spans="9:39" x14ac:dyDescent="0.3">
      <c r="I4360" s="12"/>
      <c r="N4360" s="12"/>
      <c r="S4360" s="12"/>
      <c r="X4360" s="12"/>
      <c r="AM4360" s="12"/>
    </row>
    <row r="4361" spans="9:39" x14ac:dyDescent="0.3">
      <c r="I4361" s="12"/>
      <c r="N4361" s="12"/>
      <c r="S4361" s="12"/>
      <c r="X4361" s="12"/>
      <c r="AM4361" s="12"/>
    </row>
    <row r="4362" spans="9:39" x14ac:dyDescent="0.3">
      <c r="I4362" s="12"/>
      <c r="N4362" s="12"/>
      <c r="S4362" s="12"/>
      <c r="X4362" s="12"/>
      <c r="AM4362" s="12"/>
    </row>
    <row r="4363" spans="9:39" x14ac:dyDescent="0.3">
      <c r="I4363" s="12"/>
      <c r="N4363" s="12"/>
      <c r="S4363" s="12"/>
      <c r="X4363" s="12"/>
      <c r="AM4363" s="12"/>
    </row>
    <row r="4364" spans="9:39" x14ac:dyDescent="0.3">
      <c r="I4364" s="12"/>
      <c r="N4364" s="12"/>
      <c r="S4364" s="12"/>
      <c r="X4364" s="12"/>
      <c r="AM4364" s="12"/>
    </row>
    <row r="4365" spans="9:39" x14ac:dyDescent="0.3">
      <c r="I4365" s="12"/>
      <c r="N4365" s="12"/>
      <c r="S4365" s="12"/>
      <c r="X4365" s="12"/>
      <c r="AM4365" s="12"/>
    </row>
    <row r="4366" spans="9:39" x14ac:dyDescent="0.3">
      <c r="I4366" s="12"/>
      <c r="N4366" s="12"/>
      <c r="S4366" s="12"/>
      <c r="X4366" s="12"/>
      <c r="AM4366" s="12"/>
    </row>
    <row r="4367" spans="9:39" x14ac:dyDescent="0.3">
      <c r="I4367" s="12"/>
      <c r="N4367" s="12"/>
      <c r="S4367" s="12"/>
      <c r="X4367" s="12"/>
      <c r="AM4367" s="12"/>
    </row>
    <row r="4368" spans="9:39" x14ac:dyDescent="0.3">
      <c r="I4368" s="12"/>
      <c r="N4368" s="12"/>
      <c r="S4368" s="12"/>
      <c r="X4368" s="12"/>
      <c r="AM4368" s="12"/>
    </row>
    <row r="4369" spans="9:39" x14ac:dyDescent="0.3">
      <c r="I4369" s="12"/>
      <c r="N4369" s="12"/>
      <c r="S4369" s="12"/>
      <c r="X4369" s="12"/>
      <c r="AM4369" s="12"/>
    </row>
    <row r="4370" spans="9:39" x14ac:dyDescent="0.3">
      <c r="I4370" s="12"/>
      <c r="N4370" s="12"/>
      <c r="S4370" s="12"/>
      <c r="X4370" s="12"/>
      <c r="AM4370" s="12"/>
    </row>
    <row r="4371" spans="9:39" x14ac:dyDescent="0.3">
      <c r="I4371" s="12"/>
      <c r="N4371" s="12"/>
      <c r="S4371" s="12"/>
      <c r="X4371" s="12"/>
      <c r="AM4371" s="12"/>
    </row>
    <row r="4372" spans="9:39" x14ac:dyDescent="0.3">
      <c r="I4372" s="12"/>
      <c r="N4372" s="12"/>
      <c r="S4372" s="12"/>
      <c r="X4372" s="12"/>
      <c r="AM4372" s="12"/>
    </row>
    <row r="4373" spans="9:39" x14ac:dyDescent="0.3">
      <c r="I4373" s="12"/>
      <c r="N4373" s="12"/>
      <c r="S4373" s="12"/>
      <c r="X4373" s="12"/>
      <c r="AM4373" s="12"/>
    </row>
    <row r="4374" spans="9:39" x14ac:dyDescent="0.3">
      <c r="I4374" s="12"/>
      <c r="N4374" s="12"/>
      <c r="S4374" s="12"/>
      <c r="X4374" s="12"/>
      <c r="AM4374" s="12"/>
    </row>
    <row r="4375" spans="9:39" x14ac:dyDescent="0.3">
      <c r="I4375" s="12"/>
      <c r="N4375" s="12"/>
      <c r="S4375" s="12"/>
      <c r="X4375" s="12"/>
      <c r="AM4375" s="12"/>
    </row>
    <row r="4376" spans="9:39" x14ac:dyDescent="0.3">
      <c r="I4376" s="12"/>
      <c r="N4376" s="12"/>
      <c r="S4376" s="12"/>
      <c r="X4376" s="12"/>
      <c r="AM4376" s="12"/>
    </row>
    <row r="4377" spans="9:39" x14ac:dyDescent="0.3">
      <c r="I4377" s="12"/>
      <c r="N4377" s="12"/>
      <c r="S4377" s="12"/>
      <c r="X4377" s="12"/>
      <c r="AM4377" s="12"/>
    </row>
    <row r="4378" spans="9:39" x14ac:dyDescent="0.3">
      <c r="I4378" s="12"/>
      <c r="N4378" s="12"/>
      <c r="S4378" s="12"/>
      <c r="X4378" s="12"/>
      <c r="AM4378" s="12"/>
    </row>
    <row r="4379" spans="9:39" x14ac:dyDescent="0.3">
      <c r="I4379" s="12"/>
      <c r="N4379" s="12"/>
      <c r="S4379" s="12"/>
      <c r="X4379" s="12"/>
      <c r="AM4379" s="12"/>
    </row>
    <row r="4380" spans="9:39" x14ac:dyDescent="0.3">
      <c r="I4380" s="12"/>
      <c r="N4380" s="12"/>
      <c r="S4380" s="12"/>
      <c r="X4380" s="12"/>
      <c r="AM4380" s="12"/>
    </row>
    <row r="4381" spans="9:39" x14ac:dyDescent="0.3">
      <c r="I4381" s="12"/>
      <c r="N4381" s="12"/>
      <c r="S4381" s="12"/>
      <c r="X4381" s="12"/>
      <c r="AM4381" s="12"/>
    </row>
    <row r="4382" spans="9:39" x14ac:dyDescent="0.3">
      <c r="I4382" s="12"/>
      <c r="N4382" s="12"/>
      <c r="S4382" s="12"/>
      <c r="X4382" s="12"/>
      <c r="AM4382" s="12"/>
    </row>
    <row r="4383" spans="9:39" x14ac:dyDescent="0.3">
      <c r="I4383" s="12"/>
      <c r="N4383" s="12"/>
      <c r="S4383" s="12"/>
      <c r="X4383" s="12"/>
      <c r="AM4383" s="12"/>
    </row>
    <row r="4384" spans="9:39" x14ac:dyDescent="0.3">
      <c r="I4384" s="12"/>
      <c r="N4384" s="12"/>
      <c r="S4384" s="12"/>
      <c r="X4384" s="12"/>
      <c r="AM4384" s="12"/>
    </row>
    <row r="4385" spans="9:39" x14ac:dyDescent="0.3">
      <c r="I4385" s="12"/>
      <c r="N4385" s="12"/>
      <c r="S4385" s="12"/>
      <c r="X4385" s="12"/>
      <c r="AM4385" s="12"/>
    </row>
    <row r="4386" spans="9:39" x14ac:dyDescent="0.3">
      <c r="I4386" s="12"/>
      <c r="N4386" s="12"/>
      <c r="S4386" s="12"/>
      <c r="X4386" s="12"/>
      <c r="AM4386" s="12"/>
    </row>
    <row r="4387" spans="9:39" x14ac:dyDescent="0.3">
      <c r="I4387" s="12"/>
      <c r="N4387" s="12"/>
      <c r="S4387" s="12"/>
      <c r="X4387" s="12"/>
      <c r="AM4387" s="12"/>
    </row>
    <row r="4388" spans="9:39" x14ac:dyDescent="0.3">
      <c r="I4388" s="12"/>
      <c r="N4388" s="12"/>
      <c r="S4388" s="12"/>
      <c r="X4388" s="12"/>
      <c r="AM4388" s="12"/>
    </row>
    <row r="4389" spans="9:39" x14ac:dyDescent="0.3">
      <c r="I4389" s="12"/>
      <c r="N4389" s="12"/>
      <c r="S4389" s="12"/>
      <c r="X4389" s="12"/>
      <c r="AM4389" s="12"/>
    </row>
    <row r="4390" spans="9:39" x14ac:dyDescent="0.3">
      <c r="I4390" s="12"/>
      <c r="N4390" s="12"/>
      <c r="S4390" s="12"/>
      <c r="X4390" s="12"/>
      <c r="AM4390" s="12"/>
    </row>
    <row r="4391" spans="9:39" x14ac:dyDescent="0.3">
      <c r="I4391" s="12"/>
      <c r="N4391" s="12"/>
      <c r="S4391" s="12"/>
      <c r="X4391" s="12"/>
      <c r="AM4391" s="12"/>
    </row>
    <row r="4392" spans="9:39" x14ac:dyDescent="0.3">
      <c r="I4392" s="12"/>
      <c r="N4392" s="12"/>
      <c r="S4392" s="12"/>
      <c r="X4392" s="12"/>
      <c r="AM4392" s="12"/>
    </row>
    <row r="4393" spans="9:39" x14ac:dyDescent="0.3">
      <c r="I4393" s="12"/>
      <c r="N4393" s="12"/>
      <c r="S4393" s="12"/>
      <c r="X4393" s="12"/>
      <c r="AM4393" s="12"/>
    </row>
    <row r="4394" spans="9:39" x14ac:dyDescent="0.3">
      <c r="I4394" s="12"/>
      <c r="N4394" s="12"/>
      <c r="S4394" s="12"/>
      <c r="X4394" s="12"/>
      <c r="AM4394" s="12"/>
    </row>
    <row r="4395" spans="9:39" x14ac:dyDescent="0.3">
      <c r="I4395" s="12"/>
      <c r="N4395" s="12"/>
      <c r="S4395" s="12"/>
      <c r="X4395" s="12"/>
      <c r="AM4395" s="12"/>
    </row>
    <row r="4396" spans="9:39" x14ac:dyDescent="0.3">
      <c r="I4396" s="12"/>
      <c r="N4396" s="12"/>
      <c r="S4396" s="12"/>
      <c r="X4396" s="12"/>
      <c r="AM4396" s="12"/>
    </row>
    <row r="4397" spans="9:39" x14ac:dyDescent="0.3">
      <c r="I4397" s="12"/>
      <c r="N4397" s="12"/>
      <c r="S4397" s="12"/>
      <c r="X4397" s="12"/>
      <c r="AM4397" s="12"/>
    </row>
    <row r="4398" spans="9:39" x14ac:dyDescent="0.3">
      <c r="I4398" s="12"/>
      <c r="N4398" s="12"/>
      <c r="S4398" s="12"/>
      <c r="X4398" s="12"/>
      <c r="AM4398" s="12"/>
    </row>
    <row r="4399" spans="9:39" x14ac:dyDescent="0.3">
      <c r="I4399" s="12"/>
      <c r="N4399" s="12"/>
      <c r="S4399" s="12"/>
      <c r="X4399" s="12"/>
      <c r="AM4399" s="12"/>
    </row>
    <row r="4400" spans="9:39" x14ac:dyDescent="0.3">
      <c r="I4400" s="12"/>
      <c r="N4400" s="12"/>
      <c r="S4400" s="12"/>
      <c r="X4400" s="12"/>
      <c r="AM4400" s="12"/>
    </row>
    <row r="4401" spans="9:39" x14ac:dyDescent="0.3">
      <c r="I4401" s="12"/>
      <c r="N4401" s="12"/>
      <c r="S4401" s="12"/>
      <c r="X4401" s="12"/>
      <c r="AM4401" s="12"/>
    </row>
    <row r="4402" spans="9:39" x14ac:dyDescent="0.3">
      <c r="I4402" s="12"/>
      <c r="N4402" s="12"/>
      <c r="S4402" s="12"/>
      <c r="X4402" s="12"/>
      <c r="AM4402" s="12"/>
    </row>
    <row r="4403" spans="9:39" x14ac:dyDescent="0.3">
      <c r="I4403" s="12"/>
      <c r="N4403" s="12"/>
      <c r="S4403" s="12"/>
      <c r="X4403" s="12"/>
      <c r="AM4403" s="12"/>
    </row>
    <row r="4404" spans="9:39" x14ac:dyDescent="0.3">
      <c r="I4404" s="12"/>
      <c r="N4404" s="12"/>
      <c r="S4404" s="12"/>
      <c r="X4404" s="12"/>
      <c r="AM4404" s="12"/>
    </row>
    <row r="4405" spans="9:39" x14ac:dyDescent="0.3">
      <c r="I4405" s="12"/>
      <c r="N4405" s="12"/>
      <c r="S4405" s="12"/>
      <c r="X4405" s="12"/>
      <c r="AM4405" s="12"/>
    </row>
    <row r="4406" spans="9:39" x14ac:dyDescent="0.3">
      <c r="I4406" s="12"/>
      <c r="N4406" s="12"/>
      <c r="S4406" s="12"/>
      <c r="X4406" s="12"/>
      <c r="AM4406" s="12"/>
    </row>
    <row r="4407" spans="9:39" x14ac:dyDescent="0.3">
      <c r="I4407" s="12"/>
      <c r="N4407" s="12"/>
      <c r="S4407" s="12"/>
      <c r="X4407" s="12"/>
      <c r="AM4407" s="12"/>
    </row>
    <row r="4408" spans="9:39" x14ac:dyDescent="0.3">
      <c r="I4408" s="12"/>
      <c r="N4408" s="12"/>
      <c r="S4408" s="12"/>
      <c r="X4408" s="12"/>
      <c r="AM4408" s="12"/>
    </row>
    <row r="4409" spans="9:39" x14ac:dyDescent="0.3">
      <c r="I4409" s="12"/>
      <c r="N4409" s="12"/>
      <c r="S4409" s="12"/>
      <c r="X4409" s="12"/>
      <c r="AM4409" s="12"/>
    </row>
    <row r="4410" spans="9:39" x14ac:dyDescent="0.3">
      <c r="I4410" s="12"/>
      <c r="N4410" s="12"/>
      <c r="S4410" s="12"/>
      <c r="X4410" s="12"/>
      <c r="AM4410" s="12"/>
    </row>
    <row r="4411" spans="9:39" x14ac:dyDescent="0.3">
      <c r="I4411" s="12"/>
      <c r="N4411" s="12"/>
      <c r="S4411" s="12"/>
      <c r="X4411" s="12"/>
      <c r="AM4411" s="12"/>
    </row>
    <row r="4412" spans="9:39" x14ac:dyDescent="0.3">
      <c r="I4412" s="12"/>
      <c r="N4412" s="12"/>
      <c r="S4412" s="12"/>
      <c r="X4412" s="12"/>
      <c r="AM4412" s="12"/>
    </row>
    <row r="4413" spans="9:39" x14ac:dyDescent="0.3">
      <c r="I4413" s="12"/>
      <c r="N4413" s="12"/>
      <c r="S4413" s="12"/>
      <c r="X4413" s="12"/>
      <c r="AM4413" s="12"/>
    </row>
    <row r="4414" spans="9:39" x14ac:dyDescent="0.3">
      <c r="I4414" s="12"/>
      <c r="N4414" s="12"/>
      <c r="S4414" s="12"/>
      <c r="X4414" s="12"/>
      <c r="AM4414" s="12"/>
    </row>
    <row r="4415" spans="9:39" x14ac:dyDescent="0.3">
      <c r="I4415" s="12"/>
      <c r="N4415" s="12"/>
      <c r="S4415" s="12"/>
      <c r="X4415" s="12"/>
      <c r="AM4415" s="12"/>
    </row>
    <row r="4416" spans="9:39" x14ac:dyDescent="0.3">
      <c r="I4416" s="12"/>
      <c r="N4416" s="12"/>
      <c r="S4416" s="12"/>
      <c r="X4416" s="12"/>
      <c r="AM4416" s="12"/>
    </row>
    <row r="4417" spans="9:39" x14ac:dyDescent="0.3">
      <c r="I4417" s="12"/>
      <c r="N4417" s="12"/>
      <c r="S4417" s="12"/>
      <c r="X4417" s="12"/>
      <c r="AM4417" s="12"/>
    </row>
    <row r="4418" spans="9:39" x14ac:dyDescent="0.3">
      <c r="I4418" s="12"/>
      <c r="N4418" s="12"/>
      <c r="S4418" s="12"/>
      <c r="X4418" s="12"/>
      <c r="AM4418" s="12"/>
    </row>
    <row r="4419" spans="9:39" x14ac:dyDescent="0.3">
      <c r="I4419" s="12"/>
      <c r="N4419" s="12"/>
      <c r="S4419" s="12"/>
      <c r="X4419" s="12"/>
      <c r="AM4419" s="12"/>
    </row>
    <row r="4420" spans="9:39" x14ac:dyDescent="0.3">
      <c r="I4420" s="12"/>
      <c r="N4420" s="12"/>
      <c r="S4420" s="12"/>
      <c r="X4420" s="12"/>
      <c r="AM4420" s="12"/>
    </row>
    <row r="4421" spans="9:39" x14ac:dyDescent="0.3">
      <c r="I4421" s="12"/>
      <c r="N4421" s="12"/>
      <c r="S4421" s="12"/>
      <c r="X4421" s="12"/>
      <c r="AM4421" s="12"/>
    </row>
    <row r="4422" spans="9:39" x14ac:dyDescent="0.3">
      <c r="I4422" s="12"/>
      <c r="N4422" s="12"/>
      <c r="S4422" s="12"/>
      <c r="X4422" s="12"/>
      <c r="AM4422" s="12"/>
    </row>
    <row r="4423" spans="9:39" x14ac:dyDescent="0.3">
      <c r="I4423" s="12"/>
      <c r="N4423" s="12"/>
      <c r="S4423" s="12"/>
      <c r="X4423" s="12"/>
      <c r="AM4423" s="12"/>
    </row>
    <row r="4424" spans="9:39" x14ac:dyDescent="0.3">
      <c r="I4424" s="12"/>
      <c r="N4424" s="12"/>
      <c r="S4424" s="12"/>
      <c r="X4424" s="12"/>
      <c r="AM4424" s="12"/>
    </row>
    <row r="4425" spans="9:39" x14ac:dyDescent="0.3">
      <c r="I4425" s="12"/>
      <c r="N4425" s="12"/>
      <c r="S4425" s="12"/>
      <c r="X4425" s="12"/>
      <c r="AM4425" s="12"/>
    </row>
    <row r="4426" spans="9:39" x14ac:dyDescent="0.3">
      <c r="I4426" s="12"/>
      <c r="N4426" s="12"/>
      <c r="S4426" s="12"/>
      <c r="X4426" s="12"/>
      <c r="AM4426" s="12"/>
    </row>
    <row r="4427" spans="9:39" x14ac:dyDescent="0.3">
      <c r="I4427" s="12"/>
      <c r="N4427" s="12"/>
      <c r="S4427" s="12"/>
      <c r="X4427" s="12"/>
      <c r="AM4427" s="12"/>
    </row>
    <row r="4428" spans="9:39" x14ac:dyDescent="0.3">
      <c r="I4428" s="12"/>
      <c r="N4428" s="12"/>
      <c r="S4428" s="12"/>
      <c r="X4428" s="12"/>
      <c r="AM4428" s="12"/>
    </row>
    <row r="4429" spans="9:39" x14ac:dyDescent="0.3">
      <c r="I4429" s="12"/>
      <c r="N4429" s="12"/>
      <c r="S4429" s="12"/>
      <c r="X4429" s="12"/>
      <c r="AM4429" s="12"/>
    </row>
    <row r="4430" spans="9:39" x14ac:dyDescent="0.3">
      <c r="I4430" s="12"/>
      <c r="N4430" s="12"/>
      <c r="S4430" s="12"/>
      <c r="X4430" s="12"/>
      <c r="AM4430" s="12"/>
    </row>
    <row r="4431" spans="9:39" x14ac:dyDescent="0.3">
      <c r="I4431" s="12"/>
      <c r="N4431" s="12"/>
      <c r="S4431" s="12"/>
      <c r="X4431" s="12"/>
      <c r="AM4431" s="12"/>
    </row>
    <row r="4432" spans="9:39" x14ac:dyDescent="0.3">
      <c r="I4432" s="12"/>
      <c r="N4432" s="12"/>
      <c r="S4432" s="12"/>
      <c r="X4432" s="12"/>
      <c r="AM4432" s="12"/>
    </row>
    <row r="4433" spans="9:39" x14ac:dyDescent="0.3">
      <c r="I4433" s="12"/>
      <c r="N4433" s="12"/>
      <c r="S4433" s="12"/>
      <c r="X4433" s="12"/>
      <c r="AM4433" s="12"/>
    </row>
    <row r="4434" spans="9:39" x14ac:dyDescent="0.3">
      <c r="I4434" s="12"/>
      <c r="N4434" s="12"/>
      <c r="S4434" s="12"/>
      <c r="X4434" s="12"/>
      <c r="AM4434" s="12"/>
    </row>
    <row r="4435" spans="9:39" x14ac:dyDescent="0.3">
      <c r="I4435" s="12"/>
      <c r="N4435" s="12"/>
      <c r="S4435" s="12"/>
      <c r="X4435" s="12"/>
      <c r="AM4435" s="12"/>
    </row>
    <row r="4436" spans="9:39" x14ac:dyDescent="0.3">
      <c r="I4436" s="12"/>
      <c r="N4436" s="12"/>
      <c r="S4436" s="12"/>
      <c r="X4436" s="12"/>
      <c r="AM4436" s="12"/>
    </row>
    <row r="4437" spans="9:39" x14ac:dyDescent="0.3">
      <c r="I4437" s="12"/>
      <c r="N4437" s="12"/>
      <c r="S4437" s="12"/>
      <c r="X4437" s="12"/>
      <c r="AM4437" s="12"/>
    </row>
    <row r="4438" spans="9:39" x14ac:dyDescent="0.3">
      <c r="I4438" s="12"/>
      <c r="N4438" s="12"/>
      <c r="S4438" s="12"/>
      <c r="X4438" s="12"/>
      <c r="AM4438" s="12"/>
    </row>
    <row r="4439" spans="9:39" x14ac:dyDescent="0.3">
      <c r="I4439" s="12"/>
      <c r="N4439" s="12"/>
      <c r="S4439" s="12"/>
      <c r="X4439" s="12"/>
      <c r="AM4439" s="12"/>
    </row>
    <row r="4440" spans="9:39" x14ac:dyDescent="0.3">
      <c r="I4440" s="12"/>
      <c r="N4440" s="12"/>
      <c r="S4440" s="12"/>
      <c r="X4440" s="12"/>
      <c r="AM4440" s="12"/>
    </row>
    <row r="4441" spans="9:39" x14ac:dyDescent="0.3">
      <c r="I4441" s="12"/>
      <c r="N4441" s="12"/>
      <c r="S4441" s="12"/>
      <c r="X4441" s="12"/>
      <c r="AM4441" s="12"/>
    </row>
    <row r="4442" spans="9:39" x14ac:dyDescent="0.3">
      <c r="I4442" s="12"/>
      <c r="N4442" s="12"/>
      <c r="S4442" s="12"/>
      <c r="X4442" s="12"/>
      <c r="AM4442" s="12"/>
    </row>
    <row r="4443" spans="9:39" x14ac:dyDescent="0.3">
      <c r="I4443" s="12"/>
      <c r="N4443" s="12"/>
      <c r="S4443" s="12"/>
      <c r="X4443" s="12"/>
      <c r="AM4443" s="12"/>
    </row>
    <row r="4444" spans="9:39" x14ac:dyDescent="0.3">
      <c r="I4444" s="12"/>
      <c r="N4444" s="12"/>
      <c r="S4444" s="12"/>
      <c r="X4444" s="12"/>
      <c r="AM4444" s="12"/>
    </row>
    <row r="4445" spans="9:39" x14ac:dyDescent="0.3">
      <c r="I4445" s="12"/>
      <c r="N4445" s="12"/>
      <c r="S4445" s="12"/>
      <c r="X4445" s="12"/>
      <c r="AM4445" s="12"/>
    </row>
    <row r="4446" spans="9:39" x14ac:dyDescent="0.3">
      <c r="I4446" s="12"/>
      <c r="N4446" s="12"/>
      <c r="S4446" s="12"/>
      <c r="X4446" s="12"/>
      <c r="AM4446" s="12"/>
    </row>
    <row r="4447" spans="9:39" x14ac:dyDescent="0.3">
      <c r="I4447" s="12"/>
      <c r="N4447" s="12"/>
      <c r="S4447" s="12"/>
      <c r="X4447" s="12"/>
      <c r="AM4447" s="12"/>
    </row>
    <row r="4448" spans="9:39" x14ac:dyDescent="0.3">
      <c r="I4448" s="12"/>
      <c r="N4448" s="12"/>
      <c r="S4448" s="12"/>
      <c r="X4448" s="12"/>
      <c r="AM4448" s="12"/>
    </row>
    <row r="4449" spans="9:39" x14ac:dyDescent="0.3">
      <c r="I4449" s="12"/>
      <c r="N4449" s="12"/>
      <c r="S4449" s="12"/>
      <c r="X4449" s="12"/>
      <c r="AM4449" s="12"/>
    </row>
    <row r="4450" spans="9:39" x14ac:dyDescent="0.3">
      <c r="I4450" s="12"/>
      <c r="N4450" s="12"/>
      <c r="S4450" s="12"/>
      <c r="X4450" s="12"/>
      <c r="AM4450" s="12"/>
    </row>
    <row r="4451" spans="9:39" x14ac:dyDescent="0.3">
      <c r="I4451" s="12"/>
      <c r="N4451" s="12"/>
      <c r="S4451" s="12"/>
      <c r="X4451" s="12"/>
      <c r="AM4451" s="12"/>
    </row>
    <row r="4452" spans="9:39" x14ac:dyDescent="0.3">
      <c r="I4452" s="12"/>
      <c r="N4452" s="12"/>
      <c r="S4452" s="12"/>
      <c r="X4452" s="12"/>
      <c r="AM4452" s="12"/>
    </row>
    <row r="4453" spans="9:39" x14ac:dyDescent="0.3">
      <c r="I4453" s="12"/>
      <c r="N4453" s="12"/>
      <c r="S4453" s="12"/>
      <c r="X4453" s="12"/>
      <c r="AM4453" s="12"/>
    </row>
    <row r="4454" spans="9:39" x14ac:dyDescent="0.3">
      <c r="I4454" s="12"/>
      <c r="N4454" s="12"/>
      <c r="S4454" s="12"/>
      <c r="X4454" s="12"/>
      <c r="AM4454" s="12"/>
    </row>
    <row r="4455" spans="9:39" x14ac:dyDescent="0.3">
      <c r="I4455" s="12"/>
      <c r="N4455" s="12"/>
      <c r="S4455" s="12"/>
      <c r="X4455" s="12"/>
      <c r="AM4455" s="12"/>
    </row>
    <row r="4456" spans="9:39" x14ac:dyDescent="0.3">
      <c r="I4456" s="12"/>
      <c r="N4456" s="12"/>
      <c r="S4456" s="12"/>
      <c r="X4456" s="12"/>
      <c r="AM4456" s="12"/>
    </row>
    <row r="4457" spans="9:39" x14ac:dyDescent="0.3">
      <c r="I4457" s="12"/>
      <c r="N4457" s="12"/>
      <c r="S4457" s="12"/>
      <c r="X4457" s="12"/>
      <c r="AM4457" s="12"/>
    </row>
    <row r="4458" spans="9:39" x14ac:dyDescent="0.3">
      <c r="I4458" s="12"/>
      <c r="N4458" s="12"/>
      <c r="S4458" s="12"/>
      <c r="X4458" s="12"/>
      <c r="AM4458" s="12"/>
    </row>
    <row r="4459" spans="9:39" x14ac:dyDescent="0.3">
      <c r="I4459" s="12"/>
      <c r="N4459" s="12"/>
      <c r="S4459" s="12"/>
      <c r="X4459" s="12"/>
      <c r="AM4459" s="12"/>
    </row>
    <row r="4460" spans="9:39" x14ac:dyDescent="0.3">
      <c r="I4460" s="12"/>
      <c r="N4460" s="12"/>
      <c r="S4460" s="12"/>
      <c r="X4460" s="12"/>
      <c r="AM4460" s="12"/>
    </row>
    <row r="4461" spans="9:39" x14ac:dyDescent="0.3">
      <c r="I4461" s="12"/>
      <c r="N4461" s="12"/>
      <c r="S4461" s="12"/>
      <c r="X4461" s="12"/>
      <c r="AM4461" s="12"/>
    </row>
    <row r="4462" spans="9:39" x14ac:dyDescent="0.3">
      <c r="I4462" s="12"/>
      <c r="N4462" s="12"/>
      <c r="S4462" s="12"/>
      <c r="X4462" s="12"/>
      <c r="AM4462" s="12"/>
    </row>
    <row r="4463" spans="9:39" x14ac:dyDescent="0.3">
      <c r="I4463" s="12"/>
      <c r="N4463" s="12"/>
      <c r="S4463" s="12"/>
      <c r="X4463" s="12"/>
      <c r="AM4463" s="12"/>
    </row>
    <row r="4464" spans="9:39" x14ac:dyDescent="0.3">
      <c r="I4464" s="12"/>
      <c r="N4464" s="12"/>
      <c r="S4464" s="12"/>
      <c r="X4464" s="12"/>
      <c r="AM4464" s="12"/>
    </row>
    <row r="4465" spans="9:39" x14ac:dyDescent="0.3">
      <c r="I4465" s="12"/>
      <c r="N4465" s="12"/>
      <c r="S4465" s="12"/>
      <c r="X4465" s="12"/>
      <c r="AM4465" s="12"/>
    </row>
    <row r="4466" spans="9:39" x14ac:dyDescent="0.3">
      <c r="I4466" s="12"/>
      <c r="N4466" s="12"/>
      <c r="S4466" s="12"/>
      <c r="X4466" s="12"/>
      <c r="AM4466" s="12"/>
    </row>
    <row r="4467" spans="9:39" x14ac:dyDescent="0.3">
      <c r="I4467" s="12"/>
      <c r="N4467" s="12"/>
      <c r="S4467" s="12"/>
      <c r="X4467" s="12"/>
      <c r="AM4467" s="12"/>
    </row>
    <row r="4468" spans="9:39" x14ac:dyDescent="0.3">
      <c r="I4468" s="12"/>
      <c r="N4468" s="12"/>
      <c r="S4468" s="12"/>
      <c r="X4468" s="12"/>
      <c r="AM4468" s="12"/>
    </row>
    <row r="4469" spans="9:39" x14ac:dyDescent="0.3">
      <c r="I4469" s="12"/>
      <c r="N4469" s="12"/>
      <c r="S4469" s="12"/>
      <c r="X4469" s="12"/>
      <c r="AM4469" s="12"/>
    </row>
    <row r="4470" spans="9:39" x14ac:dyDescent="0.3">
      <c r="I4470" s="12"/>
      <c r="N4470" s="12"/>
      <c r="S4470" s="12"/>
      <c r="X4470" s="12"/>
      <c r="AM4470" s="12"/>
    </row>
    <row r="4471" spans="9:39" x14ac:dyDescent="0.3">
      <c r="I4471" s="12"/>
      <c r="N4471" s="12"/>
      <c r="S4471" s="12"/>
      <c r="X4471" s="12"/>
      <c r="AM4471" s="12"/>
    </row>
    <row r="4472" spans="9:39" x14ac:dyDescent="0.3">
      <c r="I4472" s="12"/>
      <c r="N4472" s="12"/>
      <c r="S4472" s="12"/>
      <c r="X4472" s="12"/>
      <c r="AM4472" s="12"/>
    </row>
    <row r="4473" spans="9:39" x14ac:dyDescent="0.3">
      <c r="I4473" s="12"/>
      <c r="N4473" s="12"/>
      <c r="S4473" s="12"/>
      <c r="X4473" s="12"/>
      <c r="AM4473" s="12"/>
    </row>
    <row r="4474" spans="9:39" x14ac:dyDescent="0.3">
      <c r="I4474" s="12"/>
      <c r="N4474" s="12"/>
      <c r="S4474" s="12"/>
      <c r="X4474" s="12"/>
      <c r="AM4474" s="12"/>
    </row>
    <row r="4475" spans="9:39" x14ac:dyDescent="0.3">
      <c r="I4475" s="12"/>
      <c r="N4475" s="12"/>
      <c r="S4475" s="12"/>
      <c r="X4475" s="12"/>
      <c r="AM4475" s="12"/>
    </row>
    <row r="4476" spans="9:39" x14ac:dyDescent="0.3">
      <c r="I4476" s="12"/>
      <c r="N4476" s="12"/>
      <c r="S4476" s="12"/>
      <c r="X4476" s="12"/>
      <c r="AM4476" s="12"/>
    </row>
    <row r="4477" spans="9:39" x14ac:dyDescent="0.3">
      <c r="I4477" s="12"/>
      <c r="N4477" s="12"/>
      <c r="S4477" s="12"/>
      <c r="X4477" s="12"/>
      <c r="AM4477" s="12"/>
    </row>
    <row r="4478" spans="9:39" x14ac:dyDescent="0.3">
      <c r="I4478" s="12"/>
      <c r="N4478" s="12"/>
      <c r="S4478" s="12"/>
      <c r="X4478" s="12"/>
      <c r="AM4478" s="12"/>
    </row>
    <row r="4479" spans="9:39" x14ac:dyDescent="0.3">
      <c r="I4479" s="12"/>
      <c r="N4479" s="12"/>
      <c r="S4479" s="12"/>
      <c r="X4479" s="12"/>
      <c r="AM4479" s="12"/>
    </row>
    <row r="4480" spans="9:39" x14ac:dyDescent="0.3">
      <c r="I4480" s="12"/>
      <c r="N4480" s="12"/>
      <c r="S4480" s="12"/>
      <c r="X4480" s="12"/>
      <c r="AM4480" s="12"/>
    </row>
    <row r="4481" spans="9:39" x14ac:dyDescent="0.3">
      <c r="I4481" s="12"/>
      <c r="N4481" s="12"/>
      <c r="S4481" s="12"/>
      <c r="X4481" s="12"/>
      <c r="AM4481" s="12"/>
    </row>
    <row r="4482" spans="9:39" x14ac:dyDescent="0.3">
      <c r="I4482" s="12"/>
      <c r="N4482" s="12"/>
      <c r="S4482" s="12"/>
      <c r="X4482" s="12"/>
      <c r="AM4482" s="12"/>
    </row>
    <row r="4483" spans="9:39" x14ac:dyDescent="0.3">
      <c r="I4483" s="12"/>
      <c r="N4483" s="12"/>
      <c r="S4483" s="12"/>
      <c r="X4483" s="12"/>
      <c r="AM4483" s="12"/>
    </row>
    <row r="4484" spans="9:39" x14ac:dyDescent="0.3">
      <c r="I4484" s="12"/>
      <c r="N4484" s="12"/>
      <c r="S4484" s="12"/>
      <c r="X4484" s="12"/>
      <c r="AM4484" s="12"/>
    </row>
    <row r="4485" spans="9:39" x14ac:dyDescent="0.3">
      <c r="I4485" s="12"/>
      <c r="N4485" s="12"/>
      <c r="S4485" s="12"/>
      <c r="X4485" s="12"/>
      <c r="AM4485" s="12"/>
    </row>
    <row r="4486" spans="9:39" x14ac:dyDescent="0.3">
      <c r="I4486" s="12"/>
      <c r="N4486" s="12"/>
      <c r="S4486" s="12"/>
      <c r="X4486" s="12"/>
      <c r="AM4486" s="12"/>
    </row>
    <row r="4487" spans="9:39" x14ac:dyDescent="0.3">
      <c r="I4487" s="12"/>
      <c r="N4487" s="12"/>
      <c r="S4487" s="12"/>
      <c r="X4487" s="12"/>
      <c r="AM4487" s="12"/>
    </row>
    <row r="4488" spans="9:39" x14ac:dyDescent="0.3">
      <c r="I4488" s="12"/>
      <c r="N4488" s="12"/>
      <c r="S4488" s="12"/>
      <c r="X4488" s="12"/>
      <c r="AM4488" s="12"/>
    </row>
    <row r="4489" spans="9:39" x14ac:dyDescent="0.3">
      <c r="I4489" s="12"/>
      <c r="N4489" s="12"/>
      <c r="S4489" s="12"/>
      <c r="X4489" s="12"/>
      <c r="AM4489" s="12"/>
    </row>
    <row r="4490" spans="9:39" x14ac:dyDescent="0.3">
      <c r="I4490" s="12"/>
      <c r="N4490" s="12"/>
      <c r="S4490" s="12"/>
      <c r="X4490" s="12"/>
      <c r="AM4490" s="12"/>
    </row>
    <row r="4491" spans="9:39" x14ac:dyDescent="0.3">
      <c r="I4491" s="12"/>
      <c r="N4491" s="12"/>
      <c r="S4491" s="12"/>
      <c r="X4491" s="12"/>
      <c r="AM4491" s="12"/>
    </row>
    <row r="4492" spans="9:39" x14ac:dyDescent="0.3">
      <c r="I4492" s="12"/>
      <c r="N4492" s="12"/>
      <c r="S4492" s="12"/>
      <c r="X4492" s="12"/>
      <c r="AM4492" s="12"/>
    </row>
    <row r="4493" spans="9:39" x14ac:dyDescent="0.3">
      <c r="I4493" s="12"/>
      <c r="N4493" s="12"/>
      <c r="S4493" s="12"/>
      <c r="X4493" s="12"/>
      <c r="AM4493" s="12"/>
    </row>
    <row r="4494" spans="9:39" x14ac:dyDescent="0.3">
      <c r="I4494" s="12"/>
      <c r="N4494" s="12"/>
      <c r="S4494" s="12"/>
      <c r="X4494" s="12"/>
      <c r="AM4494" s="12"/>
    </row>
    <row r="4495" spans="9:39" x14ac:dyDescent="0.3">
      <c r="I4495" s="12"/>
      <c r="N4495" s="12"/>
      <c r="S4495" s="12"/>
      <c r="X4495" s="12"/>
      <c r="AM4495" s="12"/>
    </row>
    <row r="4496" spans="9:39" x14ac:dyDescent="0.3">
      <c r="I4496" s="12"/>
      <c r="N4496" s="12"/>
      <c r="S4496" s="12"/>
      <c r="X4496" s="12"/>
      <c r="AM4496" s="12"/>
    </row>
    <row r="4497" spans="9:39" x14ac:dyDescent="0.3">
      <c r="I4497" s="12"/>
      <c r="N4497" s="12"/>
      <c r="S4497" s="12"/>
      <c r="X4497" s="12"/>
      <c r="AM4497" s="12"/>
    </row>
    <row r="4498" spans="9:39" x14ac:dyDescent="0.3">
      <c r="I4498" s="12"/>
      <c r="N4498" s="12"/>
      <c r="S4498" s="12"/>
      <c r="X4498" s="12"/>
      <c r="AM4498" s="12"/>
    </row>
    <row r="4499" spans="9:39" x14ac:dyDescent="0.3">
      <c r="I4499" s="12"/>
      <c r="N4499" s="12"/>
      <c r="S4499" s="12"/>
      <c r="X4499" s="12"/>
      <c r="AM4499" s="12"/>
    </row>
    <row r="4500" spans="9:39" x14ac:dyDescent="0.3">
      <c r="I4500" s="12"/>
      <c r="N4500" s="12"/>
      <c r="S4500" s="12"/>
      <c r="X4500" s="12"/>
      <c r="AM4500" s="12"/>
    </row>
    <row r="4501" spans="9:39" x14ac:dyDescent="0.3">
      <c r="I4501" s="12"/>
      <c r="N4501" s="12"/>
      <c r="S4501" s="12"/>
      <c r="X4501" s="12"/>
      <c r="AM4501" s="12"/>
    </row>
    <row r="4502" spans="9:39" x14ac:dyDescent="0.3">
      <c r="I4502" s="12"/>
      <c r="N4502" s="12"/>
      <c r="S4502" s="12"/>
      <c r="X4502" s="12"/>
      <c r="AM4502" s="12"/>
    </row>
    <row r="4503" spans="9:39" x14ac:dyDescent="0.3">
      <c r="I4503" s="12"/>
      <c r="N4503" s="12"/>
      <c r="S4503" s="12"/>
      <c r="X4503" s="12"/>
      <c r="AM4503" s="12"/>
    </row>
    <row r="4504" spans="9:39" x14ac:dyDescent="0.3">
      <c r="I4504" s="12"/>
      <c r="N4504" s="12"/>
      <c r="S4504" s="12"/>
      <c r="X4504" s="12"/>
      <c r="AM4504" s="12"/>
    </row>
    <row r="4505" spans="9:39" x14ac:dyDescent="0.3">
      <c r="I4505" s="12"/>
      <c r="N4505" s="12"/>
      <c r="S4505" s="12"/>
      <c r="X4505" s="12"/>
      <c r="AM4505" s="12"/>
    </row>
    <row r="4506" spans="9:39" x14ac:dyDescent="0.3">
      <c r="I4506" s="12"/>
      <c r="N4506" s="12"/>
      <c r="S4506" s="12"/>
      <c r="X4506" s="12"/>
      <c r="AM4506" s="12"/>
    </row>
    <row r="4507" spans="9:39" x14ac:dyDescent="0.3">
      <c r="I4507" s="12"/>
      <c r="N4507" s="12"/>
      <c r="S4507" s="12"/>
      <c r="X4507" s="12"/>
      <c r="AM4507" s="12"/>
    </row>
    <row r="4508" spans="9:39" x14ac:dyDescent="0.3">
      <c r="I4508" s="12"/>
      <c r="N4508" s="12"/>
      <c r="S4508" s="12"/>
      <c r="X4508" s="12"/>
      <c r="AM4508" s="12"/>
    </row>
    <row r="4509" spans="9:39" x14ac:dyDescent="0.3">
      <c r="I4509" s="12"/>
      <c r="N4509" s="12"/>
      <c r="S4509" s="12"/>
      <c r="X4509" s="12"/>
      <c r="AM4509" s="12"/>
    </row>
    <row r="4510" spans="9:39" x14ac:dyDescent="0.3">
      <c r="I4510" s="12"/>
      <c r="N4510" s="12"/>
      <c r="S4510" s="12"/>
      <c r="X4510" s="12"/>
      <c r="AM4510" s="12"/>
    </row>
    <row r="4511" spans="9:39" x14ac:dyDescent="0.3">
      <c r="I4511" s="12"/>
      <c r="N4511" s="12"/>
      <c r="S4511" s="12"/>
      <c r="X4511" s="12"/>
      <c r="AM4511" s="12"/>
    </row>
    <row r="4512" spans="9:39" x14ac:dyDescent="0.3">
      <c r="I4512" s="12"/>
      <c r="N4512" s="12"/>
      <c r="S4512" s="12"/>
      <c r="X4512" s="12"/>
      <c r="AM4512" s="12"/>
    </row>
    <row r="4513" spans="9:39" x14ac:dyDescent="0.3">
      <c r="I4513" s="12"/>
      <c r="N4513" s="12"/>
      <c r="S4513" s="12"/>
      <c r="X4513" s="12"/>
      <c r="AM4513" s="12"/>
    </row>
    <row r="4514" spans="9:39" x14ac:dyDescent="0.3">
      <c r="I4514" s="12"/>
      <c r="N4514" s="12"/>
      <c r="S4514" s="12"/>
      <c r="X4514" s="12"/>
      <c r="AM4514" s="12"/>
    </row>
    <row r="4515" spans="9:39" x14ac:dyDescent="0.3">
      <c r="I4515" s="12"/>
      <c r="N4515" s="12"/>
      <c r="S4515" s="12"/>
      <c r="X4515" s="12"/>
      <c r="AM4515" s="12"/>
    </row>
    <row r="4516" spans="9:39" x14ac:dyDescent="0.3">
      <c r="I4516" s="12"/>
      <c r="N4516" s="12"/>
      <c r="S4516" s="12"/>
      <c r="X4516" s="12"/>
      <c r="AM4516" s="12"/>
    </row>
    <row r="4517" spans="9:39" x14ac:dyDescent="0.3">
      <c r="I4517" s="12"/>
      <c r="N4517" s="12"/>
      <c r="S4517" s="12"/>
      <c r="X4517" s="12"/>
      <c r="AM4517" s="12"/>
    </row>
    <row r="4518" spans="9:39" x14ac:dyDescent="0.3">
      <c r="I4518" s="12"/>
      <c r="N4518" s="12"/>
      <c r="S4518" s="12"/>
      <c r="X4518" s="12"/>
      <c r="AM4518" s="12"/>
    </row>
    <row r="4519" spans="9:39" x14ac:dyDescent="0.3">
      <c r="I4519" s="12"/>
      <c r="N4519" s="12"/>
      <c r="S4519" s="12"/>
      <c r="X4519" s="12"/>
      <c r="AM4519" s="12"/>
    </row>
    <row r="4520" spans="9:39" x14ac:dyDescent="0.3">
      <c r="I4520" s="12"/>
      <c r="N4520" s="12"/>
      <c r="S4520" s="12"/>
      <c r="X4520" s="12"/>
      <c r="AM4520" s="12"/>
    </row>
    <row r="4521" spans="9:39" x14ac:dyDescent="0.3">
      <c r="I4521" s="12"/>
      <c r="N4521" s="12"/>
      <c r="S4521" s="12"/>
      <c r="X4521" s="12"/>
      <c r="AM4521" s="12"/>
    </row>
    <row r="4522" spans="9:39" x14ac:dyDescent="0.3">
      <c r="I4522" s="12"/>
      <c r="N4522" s="12"/>
      <c r="S4522" s="12"/>
      <c r="X4522" s="12"/>
      <c r="AM4522" s="12"/>
    </row>
    <row r="4523" spans="9:39" x14ac:dyDescent="0.3">
      <c r="I4523" s="12"/>
      <c r="N4523" s="12"/>
      <c r="S4523" s="12"/>
      <c r="X4523" s="12"/>
      <c r="AM4523" s="12"/>
    </row>
    <row r="4524" spans="9:39" x14ac:dyDescent="0.3">
      <c r="I4524" s="12"/>
      <c r="N4524" s="12"/>
      <c r="S4524" s="12"/>
      <c r="X4524" s="12"/>
      <c r="AM4524" s="12"/>
    </row>
    <row r="4525" spans="9:39" x14ac:dyDescent="0.3">
      <c r="I4525" s="12"/>
      <c r="N4525" s="12"/>
      <c r="S4525" s="12"/>
      <c r="X4525" s="12"/>
      <c r="AM4525" s="12"/>
    </row>
    <row r="4526" spans="9:39" x14ac:dyDescent="0.3">
      <c r="I4526" s="12"/>
      <c r="N4526" s="12"/>
      <c r="S4526" s="12"/>
      <c r="X4526" s="12"/>
      <c r="AM4526" s="12"/>
    </row>
    <row r="4527" spans="9:39" x14ac:dyDescent="0.3">
      <c r="I4527" s="12"/>
      <c r="N4527" s="12"/>
      <c r="S4527" s="12"/>
      <c r="X4527" s="12"/>
      <c r="AM4527" s="12"/>
    </row>
    <row r="4528" spans="9:39" x14ac:dyDescent="0.3">
      <c r="I4528" s="12"/>
      <c r="N4528" s="12"/>
      <c r="S4528" s="12"/>
      <c r="X4528" s="12"/>
      <c r="AM4528" s="12"/>
    </row>
    <row r="4529" spans="9:39" x14ac:dyDescent="0.3">
      <c r="I4529" s="12"/>
      <c r="N4529" s="12"/>
      <c r="S4529" s="12"/>
      <c r="X4529" s="12"/>
      <c r="AM4529" s="12"/>
    </row>
    <row r="4530" spans="9:39" x14ac:dyDescent="0.3">
      <c r="I4530" s="12"/>
      <c r="N4530" s="12"/>
      <c r="S4530" s="12"/>
      <c r="X4530" s="12"/>
      <c r="AM4530" s="12"/>
    </row>
    <row r="4531" spans="9:39" x14ac:dyDescent="0.3">
      <c r="I4531" s="12"/>
      <c r="N4531" s="12"/>
      <c r="S4531" s="12"/>
      <c r="X4531" s="12"/>
      <c r="AM4531" s="12"/>
    </row>
    <row r="4532" spans="9:39" x14ac:dyDescent="0.3">
      <c r="I4532" s="12"/>
      <c r="N4532" s="12"/>
      <c r="S4532" s="12"/>
      <c r="X4532" s="12"/>
      <c r="AM4532" s="12"/>
    </row>
    <row r="4533" spans="9:39" x14ac:dyDescent="0.3">
      <c r="I4533" s="12"/>
      <c r="N4533" s="12"/>
      <c r="S4533" s="12"/>
      <c r="X4533" s="12"/>
      <c r="AM4533" s="12"/>
    </row>
    <row r="4534" spans="9:39" x14ac:dyDescent="0.3">
      <c r="I4534" s="12"/>
      <c r="N4534" s="12"/>
      <c r="S4534" s="12"/>
      <c r="X4534" s="12"/>
      <c r="AM4534" s="12"/>
    </row>
    <row r="4535" spans="9:39" x14ac:dyDescent="0.3">
      <c r="I4535" s="12"/>
      <c r="N4535" s="12"/>
      <c r="S4535" s="12"/>
      <c r="X4535" s="12"/>
      <c r="AM4535" s="12"/>
    </row>
    <row r="4536" spans="9:39" x14ac:dyDescent="0.3">
      <c r="I4536" s="12"/>
      <c r="N4536" s="12"/>
      <c r="S4536" s="12"/>
      <c r="X4536" s="12"/>
      <c r="AM4536" s="12"/>
    </row>
    <row r="4537" spans="9:39" x14ac:dyDescent="0.3">
      <c r="I4537" s="12"/>
      <c r="N4537" s="12"/>
      <c r="S4537" s="12"/>
      <c r="X4537" s="12"/>
      <c r="AM4537" s="12"/>
    </row>
    <row r="4538" spans="9:39" x14ac:dyDescent="0.3">
      <c r="I4538" s="12"/>
      <c r="N4538" s="12"/>
      <c r="S4538" s="12"/>
      <c r="X4538" s="12"/>
      <c r="AM4538" s="12"/>
    </row>
    <row r="4539" spans="9:39" x14ac:dyDescent="0.3">
      <c r="I4539" s="12"/>
      <c r="N4539" s="12"/>
      <c r="S4539" s="12"/>
      <c r="X4539" s="12"/>
      <c r="AM4539" s="12"/>
    </row>
    <row r="4540" spans="9:39" x14ac:dyDescent="0.3">
      <c r="I4540" s="12"/>
      <c r="N4540" s="12"/>
      <c r="S4540" s="12"/>
      <c r="X4540" s="12"/>
      <c r="AM4540" s="12"/>
    </row>
    <row r="4541" spans="9:39" x14ac:dyDescent="0.3">
      <c r="I4541" s="12"/>
      <c r="N4541" s="12"/>
      <c r="S4541" s="12"/>
      <c r="X4541" s="12"/>
      <c r="AM4541" s="12"/>
    </row>
    <row r="4542" spans="9:39" x14ac:dyDescent="0.3">
      <c r="I4542" s="12"/>
      <c r="N4542" s="12"/>
      <c r="S4542" s="12"/>
      <c r="X4542" s="12"/>
      <c r="AM4542" s="12"/>
    </row>
    <row r="4543" spans="9:39" x14ac:dyDescent="0.3">
      <c r="I4543" s="12"/>
      <c r="N4543" s="12"/>
      <c r="S4543" s="12"/>
      <c r="X4543" s="12"/>
      <c r="AM4543" s="12"/>
    </row>
    <row r="4544" spans="9:39" x14ac:dyDescent="0.3">
      <c r="I4544" s="12"/>
      <c r="N4544" s="12"/>
      <c r="S4544" s="12"/>
      <c r="X4544" s="12"/>
      <c r="AM4544" s="12"/>
    </row>
    <row r="4545" spans="9:39" x14ac:dyDescent="0.3">
      <c r="I4545" s="12"/>
      <c r="N4545" s="12"/>
      <c r="S4545" s="12"/>
      <c r="X4545" s="12"/>
      <c r="AM4545" s="12"/>
    </row>
    <row r="4546" spans="9:39" x14ac:dyDescent="0.3">
      <c r="I4546" s="12"/>
      <c r="N4546" s="12"/>
      <c r="S4546" s="12"/>
      <c r="X4546" s="12"/>
      <c r="AM4546" s="12"/>
    </row>
    <row r="4547" spans="9:39" x14ac:dyDescent="0.3">
      <c r="I4547" s="12"/>
      <c r="N4547" s="12"/>
      <c r="S4547" s="12"/>
      <c r="X4547" s="12"/>
      <c r="AM4547" s="12"/>
    </row>
    <row r="4548" spans="9:39" x14ac:dyDescent="0.3">
      <c r="I4548" s="12"/>
      <c r="N4548" s="12"/>
      <c r="S4548" s="12"/>
      <c r="X4548" s="12"/>
      <c r="AM4548" s="12"/>
    </row>
    <row r="4549" spans="9:39" x14ac:dyDescent="0.3">
      <c r="I4549" s="12"/>
      <c r="N4549" s="12"/>
      <c r="S4549" s="12"/>
      <c r="X4549" s="12"/>
      <c r="AM4549" s="12"/>
    </row>
    <row r="4550" spans="9:39" x14ac:dyDescent="0.3">
      <c r="I4550" s="12"/>
      <c r="N4550" s="12"/>
      <c r="S4550" s="12"/>
      <c r="X4550" s="12"/>
      <c r="AM4550" s="12"/>
    </row>
    <row r="4551" spans="9:39" x14ac:dyDescent="0.3">
      <c r="I4551" s="12"/>
      <c r="N4551" s="12"/>
      <c r="S4551" s="12"/>
      <c r="X4551" s="12"/>
      <c r="AM4551" s="12"/>
    </row>
    <row r="4552" spans="9:39" x14ac:dyDescent="0.3">
      <c r="I4552" s="12"/>
      <c r="N4552" s="12"/>
      <c r="S4552" s="12"/>
      <c r="X4552" s="12"/>
      <c r="AM4552" s="12"/>
    </row>
    <row r="4553" spans="9:39" x14ac:dyDescent="0.3">
      <c r="I4553" s="12"/>
      <c r="N4553" s="12"/>
      <c r="S4553" s="12"/>
      <c r="X4553" s="12"/>
      <c r="AM4553" s="12"/>
    </row>
    <row r="4554" spans="9:39" x14ac:dyDescent="0.3">
      <c r="I4554" s="12"/>
      <c r="N4554" s="12"/>
      <c r="S4554" s="12"/>
      <c r="X4554" s="12"/>
      <c r="AM4554" s="12"/>
    </row>
    <row r="4555" spans="9:39" x14ac:dyDescent="0.3">
      <c r="I4555" s="12"/>
      <c r="N4555" s="12"/>
      <c r="S4555" s="12"/>
      <c r="X4555" s="12"/>
      <c r="AM4555" s="12"/>
    </row>
    <row r="4556" spans="9:39" x14ac:dyDescent="0.3">
      <c r="I4556" s="12"/>
      <c r="N4556" s="12"/>
      <c r="S4556" s="12"/>
      <c r="X4556" s="12"/>
      <c r="AM4556" s="12"/>
    </row>
    <row r="4557" spans="9:39" x14ac:dyDescent="0.3">
      <c r="I4557" s="12"/>
      <c r="N4557" s="12"/>
      <c r="S4557" s="12"/>
      <c r="X4557" s="12"/>
      <c r="AM4557" s="12"/>
    </row>
    <row r="4558" spans="9:39" x14ac:dyDescent="0.3">
      <c r="I4558" s="12"/>
      <c r="N4558" s="12"/>
      <c r="S4558" s="12"/>
      <c r="X4558" s="12"/>
      <c r="AM4558" s="12"/>
    </row>
    <row r="4559" spans="9:39" x14ac:dyDescent="0.3">
      <c r="I4559" s="12"/>
      <c r="N4559" s="12"/>
      <c r="S4559" s="12"/>
      <c r="X4559" s="12"/>
      <c r="AM4559" s="12"/>
    </row>
    <row r="4560" spans="9:39" x14ac:dyDescent="0.3">
      <c r="I4560" s="12"/>
      <c r="N4560" s="12"/>
      <c r="S4560" s="12"/>
      <c r="X4560" s="12"/>
      <c r="AM4560" s="12"/>
    </row>
    <row r="4561" spans="9:39" x14ac:dyDescent="0.3">
      <c r="I4561" s="12"/>
      <c r="N4561" s="12"/>
      <c r="S4561" s="12"/>
      <c r="X4561" s="12"/>
      <c r="AM4561" s="12"/>
    </row>
    <row r="4562" spans="9:39" x14ac:dyDescent="0.3">
      <c r="I4562" s="12"/>
      <c r="N4562" s="12"/>
      <c r="S4562" s="12"/>
      <c r="X4562" s="12"/>
      <c r="AM4562" s="12"/>
    </row>
    <row r="4563" spans="9:39" x14ac:dyDescent="0.3">
      <c r="I4563" s="12"/>
      <c r="N4563" s="12"/>
      <c r="S4563" s="12"/>
      <c r="X4563" s="12"/>
      <c r="AM4563" s="12"/>
    </row>
    <row r="4564" spans="9:39" x14ac:dyDescent="0.3">
      <c r="I4564" s="12"/>
      <c r="N4564" s="12"/>
      <c r="S4564" s="12"/>
      <c r="X4564" s="12"/>
      <c r="AM4564" s="12"/>
    </row>
    <row r="4565" spans="9:39" x14ac:dyDescent="0.3">
      <c r="I4565" s="12"/>
      <c r="N4565" s="12"/>
      <c r="S4565" s="12"/>
      <c r="X4565" s="12"/>
      <c r="AM4565" s="12"/>
    </row>
    <row r="4566" spans="9:39" x14ac:dyDescent="0.3">
      <c r="I4566" s="12"/>
      <c r="N4566" s="12"/>
      <c r="S4566" s="12"/>
      <c r="X4566" s="12"/>
      <c r="AM4566" s="12"/>
    </row>
    <row r="4567" spans="9:39" x14ac:dyDescent="0.3">
      <c r="I4567" s="12"/>
      <c r="N4567" s="12"/>
      <c r="S4567" s="12"/>
      <c r="X4567" s="12"/>
      <c r="AM4567" s="12"/>
    </row>
    <row r="4568" spans="9:39" x14ac:dyDescent="0.3">
      <c r="I4568" s="12"/>
      <c r="N4568" s="12"/>
      <c r="S4568" s="12"/>
      <c r="X4568" s="12"/>
      <c r="AM4568" s="12"/>
    </row>
    <row r="4569" spans="9:39" x14ac:dyDescent="0.3">
      <c r="I4569" s="12"/>
      <c r="N4569" s="12"/>
      <c r="S4569" s="12"/>
      <c r="X4569" s="12"/>
      <c r="AM4569" s="12"/>
    </row>
    <row r="4570" spans="9:39" x14ac:dyDescent="0.3">
      <c r="I4570" s="12"/>
      <c r="N4570" s="12"/>
      <c r="S4570" s="12"/>
      <c r="X4570" s="12"/>
      <c r="AM4570" s="12"/>
    </row>
    <row r="4571" spans="9:39" x14ac:dyDescent="0.3">
      <c r="I4571" s="12"/>
      <c r="N4571" s="12"/>
      <c r="S4571" s="12"/>
      <c r="X4571" s="12"/>
      <c r="AM4571" s="12"/>
    </row>
    <row r="4572" spans="9:39" x14ac:dyDescent="0.3">
      <c r="I4572" s="12"/>
      <c r="N4572" s="12"/>
      <c r="S4572" s="12"/>
      <c r="X4572" s="12"/>
      <c r="AM4572" s="12"/>
    </row>
    <row r="4573" spans="9:39" x14ac:dyDescent="0.3">
      <c r="I4573" s="12"/>
      <c r="N4573" s="12"/>
      <c r="S4573" s="12"/>
      <c r="X4573" s="12"/>
      <c r="AM4573" s="12"/>
    </row>
    <row r="4574" spans="9:39" x14ac:dyDescent="0.3">
      <c r="I4574" s="12"/>
      <c r="N4574" s="12"/>
      <c r="S4574" s="12"/>
      <c r="X4574" s="12"/>
      <c r="AM4574" s="12"/>
    </row>
    <row r="4575" spans="9:39" x14ac:dyDescent="0.3">
      <c r="I4575" s="12"/>
      <c r="N4575" s="12"/>
      <c r="S4575" s="12"/>
      <c r="X4575" s="12"/>
      <c r="AM4575" s="12"/>
    </row>
    <row r="4576" spans="9:39" x14ac:dyDescent="0.3">
      <c r="I4576" s="12"/>
      <c r="N4576" s="12"/>
      <c r="S4576" s="12"/>
      <c r="X4576" s="12"/>
      <c r="AM4576" s="12"/>
    </row>
    <row r="4577" spans="9:39" x14ac:dyDescent="0.3">
      <c r="I4577" s="12"/>
      <c r="N4577" s="12"/>
      <c r="S4577" s="12"/>
      <c r="X4577" s="12"/>
      <c r="AM4577" s="12"/>
    </row>
    <row r="4578" spans="9:39" x14ac:dyDescent="0.3">
      <c r="I4578" s="12"/>
      <c r="N4578" s="12"/>
      <c r="S4578" s="12"/>
      <c r="X4578" s="12"/>
      <c r="AM4578" s="12"/>
    </row>
    <row r="4579" spans="9:39" x14ac:dyDescent="0.3">
      <c r="I4579" s="12"/>
      <c r="N4579" s="12"/>
      <c r="S4579" s="12"/>
      <c r="X4579" s="12"/>
      <c r="AM4579" s="12"/>
    </row>
    <row r="4580" spans="9:39" x14ac:dyDescent="0.3">
      <c r="I4580" s="12"/>
      <c r="N4580" s="12"/>
      <c r="S4580" s="12"/>
      <c r="X4580" s="12"/>
      <c r="AM4580" s="12"/>
    </row>
    <row r="4581" spans="9:39" x14ac:dyDescent="0.3">
      <c r="I4581" s="12"/>
      <c r="N4581" s="12"/>
      <c r="S4581" s="12"/>
      <c r="X4581" s="12"/>
      <c r="AM4581" s="12"/>
    </row>
    <row r="4582" spans="9:39" x14ac:dyDescent="0.3">
      <c r="I4582" s="12"/>
      <c r="N4582" s="12"/>
      <c r="S4582" s="12"/>
      <c r="X4582" s="12"/>
      <c r="AM4582" s="12"/>
    </row>
    <row r="4583" spans="9:39" x14ac:dyDescent="0.3">
      <c r="I4583" s="12"/>
      <c r="N4583" s="12"/>
      <c r="S4583" s="12"/>
      <c r="X4583" s="12"/>
      <c r="AM4583" s="12"/>
    </row>
    <row r="4584" spans="9:39" x14ac:dyDescent="0.3">
      <c r="I4584" s="12"/>
      <c r="N4584" s="12"/>
      <c r="S4584" s="12"/>
      <c r="X4584" s="12"/>
      <c r="AM4584" s="12"/>
    </row>
    <row r="4585" spans="9:39" x14ac:dyDescent="0.3">
      <c r="I4585" s="12"/>
      <c r="N4585" s="12"/>
      <c r="S4585" s="12"/>
      <c r="X4585" s="12"/>
      <c r="AM4585" s="12"/>
    </row>
    <row r="4586" spans="9:39" x14ac:dyDescent="0.3">
      <c r="I4586" s="12"/>
      <c r="N4586" s="12"/>
      <c r="S4586" s="12"/>
      <c r="X4586" s="12"/>
      <c r="AM4586" s="12"/>
    </row>
    <row r="4587" spans="9:39" x14ac:dyDescent="0.3">
      <c r="I4587" s="12"/>
      <c r="N4587" s="12"/>
      <c r="S4587" s="12"/>
      <c r="X4587" s="12"/>
      <c r="AM4587" s="12"/>
    </row>
    <row r="4588" spans="9:39" x14ac:dyDescent="0.3">
      <c r="I4588" s="12"/>
      <c r="N4588" s="12"/>
      <c r="S4588" s="12"/>
      <c r="X4588" s="12"/>
      <c r="AM4588" s="12"/>
    </row>
    <row r="4589" spans="9:39" x14ac:dyDescent="0.3">
      <c r="I4589" s="12"/>
      <c r="N4589" s="12"/>
      <c r="S4589" s="12"/>
      <c r="X4589" s="12"/>
      <c r="AM4589" s="12"/>
    </row>
    <row r="4590" spans="9:39" x14ac:dyDescent="0.3">
      <c r="I4590" s="12"/>
      <c r="N4590" s="12"/>
      <c r="S4590" s="12"/>
      <c r="X4590" s="12"/>
      <c r="AM4590" s="12"/>
    </row>
    <row r="4591" spans="9:39" x14ac:dyDescent="0.3">
      <c r="I4591" s="12"/>
      <c r="N4591" s="12"/>
      <c r="S4591" s="12"/>
      <c r="X4591" s="12"/>
      <c r="AM4591" s="12"/>
    </row>
    <row r="4592" spans="9:39" x14ac:dyDescent="0.3">
      <c r="I4592" s="12"/>
      <c r="N4592" s="12"/>
      <c r="S4592" s="12"/>
      <c r="X4592" s="12"/>
      <c r="AM4592" s="12"/>
    </row>
    <row r="4593" spans="9:39" x14ac:dyDescent="0.3">
      <c r="I4593" s="12"/>
      <c r="N4593" s="12"/>
      <c r="S4593" s="12"/>
      <c r="X4593" s="12"/>
      <c r="AM4593" s="12"/>
    </row>
    <row r="4594" spans="9:39" x14ac:dyDescent="0.3">
      <c r="I4594" s="12"/>
      <c r="N4594" s="12"/>
      <c r="S4594" s="12"/>
      <c r="X4594" s="12"/>
      <c r="AM4594" s="12"/>
    </row>
    <row r="4595" spans="9:39" x14ac:dyDescent="0.3">
      <c r="I4595" s="12"/>
      <c r="N4595" s="12"/>
      <c r="S4595" s="12"/>
      <c r="X4595" s="12"/>
      <c r="AM4595" s="12"/>
    </row>
    <row r="4596" spans="9:39" x14ac:dyDescent="0.3">
      <c r="I4596" s="12"/>
      <c r="N4596" s="12"/>
      <c r="S4596" s="12"/>
      <c r="X4596" s="12"/>
      <c r="AM4596" s="12"/>
    </row>
    <row r="4597" spans="9:39" x14ac:dyDescent="0.3">
      <c r="I4597" s="12"/>
      <c r="N4597" s="12"/>
      <c r="S4597" s="12"/>
      <c r="X4597" s="12"/>
      <c r="AM4597" s="12"/>
    </row>
    <row r="4598" spans="9:39" x14ac:dyDescent="0.3">
      <c r="I4598" s="12"/>
      <c r="N4598" s="12"/>
      <c r="S4598" s="12"/>
      <c r="X4598" s="12"/>
      <c r="AM4598" s="12"/>
    </row>
    <row r="4599" spans="9:39" x14ac:dyDescent="0.3">
      <c r="I4599" s="12"/>
      <c r="N4599" s="12"/>
      <c r="S4599" s="12"/>
      <c r="X4599" s="12"/>
      <c r="AM4599" s="12"/>
    </row>
    <row r="4600" spans="9:39" x14ac:dyDescent="0.3">
      <c r="I4600" s="12"/>
      <c r="N4600" s="12"/>
      <c r="S4600" s="12"/>
      <c r="X4600" s="12"/>
      <c r="AM4600" s="12"/>
    </row>
    <row r="4601" spans="9:39" x14ac:dyDescent="0.3">
      <c r="I4601" s="12"/>
      <c r="N4601" s="12"/>
      <c r="S4601" s="12"/>
      <c r="X4601" s="12"/>
      <c r="AM4601" s="12"/>
    </row>
    <row r="4602" spans="9:39" x14ac:dyDescent="0.3">
      <c r="I4602" s="12"/>
      <c r="N4602" s="12"/>
      <c r="S4602" s="12"/>
      <c r="X4602" s="12"/>
      <c r="AM4602" s="12"/>
    </row>
    <row r="4603" spans="9:39" x14ac:dyDescent="0.3">
      <c r="I4603" s="12"/>
      <c r="N4603" s="12"/>
      <c r="S4603" s="12"/>
      <c r="X4603" s="12"/>
      <c r="AM4603" s="12"/>
    </row>
    <row r="4604" spans="9:39" x14ac:dyDescent="0.3">
      <c r="I4604" s="12"/>
      <c r="N4604" s="12"/>
      <c r="S4604" s="12"/>
      <c r="X4604" s="12"/>
      <c r="AM4604" s="12"/>
    </row>
    <row r="4605" spans="9:39" x14ac:dyDescent="0.3">
      <c r="I4605" s="12"/>
      <c r="N4605" s="12"/>
      <c r="S4605" s="12"/>
      <c r="X4605" s="12"/>
      <c r="AM4605" s="12"/>
    </row>
    <row r="4606" spans="9:39" x14ac:dyDescent="0.3">
      <c r="I4606" s="12"/>
      <c r="N4606" s="12"/>
      <c r="S4606" s="12"/>
      <c r="X4606" s="12"/>
      <c r="AM4606" s="12"/>
    </row>
    <row r="4607" spans="9:39" x14ac:dyDescent="0.3">
      <c r="I4607" s="12"/>
      <c r="N4607" s="12"/>
      <c r="S4607" s="12"/>
      <c r="X4607" s="12"/>
      <c r="AM4607" s="12"/>
    </row>
    <row r="4608" spans="9:39" x14ac:dyDescent="0.3">
      <c r="I4608" s="12"/>
      <c r="N4608" s="12"/>
      <c r="S4608" s="12"/>
      <c r="X4608" s="12"/>
      <c r="AM4608" s="12"/>
    </row>
    <row r="4609" spans="9:39" x14ac:dyDescent="0.3">
      <c r="I4609" s="12"/>
      <c r="N4609" s="12"/>
      <c r="S4609" s="12"/>
      <c r="X4609" s="12"/>
      <c r="AM4609" s="12"/>
    </row>
    <row r="4610" spans="9:39" x14ac:dyDescent="0.3">
      <c r="I4610" s="12"/>
      <c r="N4610" s="12"/>
      <c r="S4610" s="12"/>
      <c r="X4610" s="12"/>
      <c r="AM4610" s="12"/>
    </row>
    <row r="4611" spans="9:39" x14ac:dyDescent="0.3">
      <c r="I4611" s="12"/>
      <c r="N4611" s="12"/>
      <c r="S4611" s="12"/>
      <c r="X4611" s="12"/>
      <c r="AM4611" s="12"/>
    </row>
    <row r="4612" spans="9:39" x14ac:dyDescent="0.3">
      <c r="I4612" s="12"/>
      <c r="N4612" s="12"/>
      <c r="S4612" s="12"/>
      <c r="X4612" s="12"/>
      <c r="AM4612" s="12"/>
    </row>
    <row r="4613" spans="9:39" x14ac:dyDescent="0.3">
      <c r="I4613" s="12"/>
      <c r="N4613" s="12"/>
      <c r="S4613" s="12"/>
      <c r="X4613" s="12"/>
      <c r="AM4613" s="12"/>
    </row>
    <row r="4614" spans="9:39" x14ac:dyDescent="0.3">
      <c r="I4614" s="12"/>
      <c r="N4614" s="12"/>
      <c r="S4614" s="12"/>
      <c r="X4614" s="12"/>
      <c r="AM4614" s="12"/>
    </row>
    <row r="4615" spans="9:39" x14ac:dyDescent="0.3">
      <c r="I4615" s="12"/>
      <c r="N4615" s="12"/>
      <c r="S4615" s="12"/>
      <c r="X4615" s="12"/>
      <c r="AM4615" s="12"/>
    </row>
    <row r="4616" spans="9:39" x14ac:dyDescent="0.3">
      <c r="I4616" s="12"/>
      <c r="N4616" s="12"/>
      <c r="S4616" s="12"/>
      <c r="X4616" s="12"/>
      <c r="AM4616" s="12"/>
    </row>
    <row r="4617" spans="9:39" x14ac:dyDescent="0.3">
      <c r="I4617" s="12"/>
      <c r="N4617" s="12"/>
      <c r="S4617" s="12"/>
      <c r="X4617" s="12"/>
      <c r="AM4617" s="12"/>
    </row>
    <row r="4618" spans="9:39" x14ac:dyDescent="0.3">
      <c r="I4618" s="12"/>
      <c r="N4618" s="12"/>
      <c r="S4618" s="12"/>
      <c r="X4618" s="12"/>
      <c r="AM4618" s="12"/>
    </row>
    <row r="4619" spans="9:39" x14ac:dyDescent="0.3">
      <c r="I4619" s="12"/>
      <c r="N4619" s="12"/>
      <c r="S4619" s="12"/>
      <c r="X4619" s="12"/>
      <c r="AM4619" s="12"/>
    </row>
    <row r="4620" spans="9:39" x14ac:dyDescent="0.3">
      <c r="I4620" s="12"/>
      <c r="N4620" s="12"/>
      <c r="S4620" s="12"/>
      <c r="X4620" s="12"/>
      <c r="AM4620" s="12"/>
    </row>
    <row r="4621" spans="9:39" x14ac:dyDescent="0.3">
      <c r="I4621" s="12"/>
      <c r="N4621" s="12"/>
      <c r="S4621" s="12"/>
      <c r="X4621" s="12"/>
      <c r="AM4621" s="12"/>
    </row>
    <row r="4622" spans="9:39" x14ac:dyDescent="0.3">
      <c r="I4622" s="12"/>
      <c r="N4622" s="12"/>
      <c r="S4622" s="12"/>
      <c r="X4622" s="12"/>
      <c r="AM4622" s="12"/>
    </row>
    <row r="4623" spans="9:39" x14ac:dyDescent="0.3">
      <c r="I4623" s="12"/>
      <c r="N4623" s="12"/>
      <c r="S4623" s="12"/>
      <c r="X4623" s="12"/>
      <c r="AM4623" s="12"/>
    </row>
    <row r="4624" spans="9:39" x14ac:dyDescent="0.3">
      <c r="I4624" s="12"/>
      <c r="N4624" s="12"/>
      <c r="S4624" s="12"/>
      <c r="X4624" s="12"/>
      <c r="AM4624" s="12"/>
    </row>
    <row r="4625" spans="9:39" x14ac:dyDescent="0.3">
      <c r="I4625" s="12"/>
      <c r="N4625" s="12"/>
      <c r="S4625" s="12"/>
      <c r="X4625" s="12"/>
      <c r="AM4625" s="12"/>
    </row>
    <row r="4626" spans="9:39" x14ac:dyDescent="0.3">
      <c r="I4626" s="12"/>
      <c r="N4626" s="12"/>
      <c r="S4626" s="12"/>
      <c r="X4626" s="12"/>
      <c r="AM4626" s="12"/>
    </row>
    <row r="4627" spans="9:39" x14ac:dyDescent="0.3">
      <c r="I4627" s="12"/>
      <c r="N4627" s="12"/>
      <c r="S4627" s="12"/>
      <c r="X4627" s="12"/>
      <c r="AM4627" s="12"/>
    </row>
    <row r="4628" spans="9:39" x14ac:dyDescent="0.3">
      <c r="I4628" s="12"/>
      <c r="N4628" s="12"/>
      <c r="S4628" s="12"/>
      <c r="X4628" s="12"/>
      <c r="AM4628" s="12"/>
    </row>
    <row r="4629" spans="9:39" x14ac:dyDescent="0.3">
      <c r="I4629" s="12"/>
      <c r="N4629" s="12"/>
      <c r="S4629" s="12"/>
      <c r="X4629" s="12"/>
      <c r="AM4629" s="12"/>
    </row>
    <row r="4630" spans="9:39" x14ac:dyDescent="0.3">
      <c r="I4630" s="12"/>
      <c r="N4630" s="12"/>
      <c r="S4630" s="12"/>
      <c r="X4630" s="12"/>
      <c r="AM4630" s="12"/>
    </row>
    <row r="4631" spans="9:39" x14ac:dyDescent="0.3">
      <c r="I4631" s="12"/>
      <c r="N4631" s="12"/>
      <c r="S4631" s="12"/>
      <c r="X4631" s="12"/>
      <c r="AM4631" s="12"/>
    </row>
    <row r="4632" spans="9:39" x14ac:dyDescent="0.3">
      <c r="I4632" s="12"/>
      <c r="N4632" s="12"/>
      <c r="S4632" s="12"/>
      <c r="X4632" s="12"/>
      <c r="AM4632" s="12"/>
    </row>
    <row r="4633" spans="9:39" x14ac:dyDescent="0.3">
      <c r="I4633" s="12"/>
      <c r="N4633" s="12"/>
      <c r="S4633" s="12"/>
      <c r="X4633" s="12"/>
      <c r="AM4633" s="12"/>
    </row>
    <row r="4634" spans="9:39" x14ac:dyDescent="0.3">
      <c r="I4634" s="12"/>
      <c r="N4634" s="12"/>
      <c r="S4634" s="12"/>
      <c r="X4634" s="12"/>
      <c r="AM4634" s="12"/>
    </row>
    <row r="4635" spans="9:39" x14ac:dyDescent="0.3">
      <c r="I4635" s="12"/>
      <c r="N4635" s="12"/>
      <c r="S4635" s="12"/>
      <c r="X4635" s="12"/>
      <c r="AM4635" s="12"/>
    </row>
    <row r="4636" spans="9:39" x14ac:dyDescent="0.3">
      <c r="I4636" s="12"/>
      <c r="N4636" s="12"/>
      <c r="S4636" s="12"/>
      <c r="X4636" s="12"/>
      <c r="AM4636" s="12"/>
    </row>
    <row r="4637" spans="9:39" x14ac:dyDescent="0.3">
      <c r="I4637" s="12"/>
      <c r="N4637" s="12"/>
      <c r="S4637" s="12"/>
      <c r="X4637" s="12"/>
      <c r="AM4637" s="12"/>
    </row>
    <row r="4638" spans="9:39" x14ac:dyDescent="0.3">
      <c r="I4638" s="12"/>
      <c r="N4638" s="12"/>
      <c r="S4638" s="12"/>
      <c r="X4638" s="12"/>
      <c r="AM4638" s="12"/>
    </row>
    <row r="4639" spans="9:39" x14ac:dyDescent="0.3">
      <c r="I4639" s="12"/>
      <c r="N4639" s="12"/>
      <c r="S4639" s="12"/>
      <c r="X4639" s="12"/>
      <c r="AM4639" s="12"/>
    </row>
    <row r="4640" spans="9:39" x14ac:dyDescent="0.3">
      <c r="I4640" s="12"/>
      <c r="N4640" s="12"/>
      <c r="S4640" s="12"/>
      <c r="X4640" s="12"/>
      <c r="AM4640" s="12"/>
    </row>
    <row r="4641" spans="9:39" x14ac:dyDescent="0.3">
      <c r="I4641" s="12"/>
      <c r="N4641" s="12"/>
      <c r="S4641" s="12"/>
      <c r="X4641" s="12"/>
      <c r="AM4641" s="12"/>
    </row>
    <row r="4642" spans="9:39" x14ac:dyDescent="0.3">
      <c r="I4642" s="12"/>
      <c r="N4642" s="12"/>
      <c r="S4642" s="12"/>
      <c r="X4642" s="12"/>
      <c r="AM4642" s="12"/>
    </row>
    <row r="4643" spans="9:39" x14ac:dyDescent="0.3">
      <c r="I4643" s="12"/>
      <c r="N4643" s="12"/>
      <c r="S4643" s="12"/>
      <c r="X4643" s="12"/>
      <c r="AM4643" s="12"/>
    </row>
    <row r="4644" spans="9:39" x14ac:dyDescent="0.3">
      <c r="I4644" s="12"/>
      <c r="N4644" s="12"/>
      <c r="S4644" s="12"/>
      <c r="X4644" s="12"/>
      <c r="AM4644" s="12"/>
    </row>
    <row r="4645" spans="9:39" x14ac:dyDescent="0.3">
      <c r="I4645" s="12"/>
      <c r="N4645" s="12"/>
      <c r="S4645" s="12"/>
      <c r="X4645" s="12"/>
      <c r="AM4645" s="12"/>
    </row>
    <row r="4646" spans="9:39" x14ac:dyDescent="0.3">
      <c r="I4646" s="12"/>
      <c r="N4646" s="12"/>
      <c r="S4646" s="12"/>
      <c r="X4646" s="12"/>
      <c r="AM4646" s="12"/>
    </row>
    <row r="4647" spans="9:39" x14ac:dyDescent="0.3">
      <c r="I4647" s="12"/>
      <c r="N4647" s="12"/>
      <c r="S4647" s="12"/>
      <c r="X4647" s="12"/>
      <c r="AM4647" s="12"/>
    </row>
    <row r="4648" spans="9:39" x14ac:dyDescent="0.3">
      <c r="I4648" s="12"/>
      <c r="N4648" s="12"/>
      <c r="S4648" s="12"/>
      <c r="X4648" s="12"/>
      <c r="AM4648" s="12"/>
    </row>
    <row r="4649" spans="9:39" x14ac:dyDescent="0.3">
      <c r="I4649" s="12"/>
      <c r="N4649" s="12"/>
      <c r="S4649" s="12"/>
      <c r="X4649" s="12"/>
      <c r="AM4649" s="12"/>
    </row>
    <row r="4650" spans="9:39" x14ac:dyDescent="0.3">
      <c r="I4650" s="12"/>
      <c r="N4650" s="12"/>
      <c r="S4650" s="12"/>
      <c r="X4650" s="12"/>
      <c r="AM4650" s="12"/>
    </row>
    <row r="4651" spans="9:39" x14ac:dyDescent="0.3">
      <c r="I4651" s="12"/>
      <c r="N4651" s="12"/>
      <c r="S4651" s="12"/>
      <c r="X4651" s="12"/>
      <c r="AM4651" s="12"/>
    </row>
    <row r="4652" spans="9:39" x14ac:dyDescent="0.3">
      <c r="I4652" s="12"/>
      <c r="N4652" s="12"/>
      <c r="S4652" s="12"/>
      <c r="X4652" s="12"/>
      <c r="AM4652" s="12"/>
    </row>
    <row r="4653" spans="9:39" x14ac:dyDescent="0.3">
      <c r="I4653" s="12"/>
      <c r="N4653" s="12"/>
      <c r="S4653" s="12"/>
      <c r="X4653" s="12"/>
      <c r="AM4653" s="12"/>
    </row>
    <row r="4654" spans="9:39" x14ac:dyDescent="0.3">
      <c r="I4654" s="12"/>
      <c r="N4654" s="12"/>
      <c r="S4654" s="12"/>
      <c r="X4654" s="12"/>
      <c r="AM4654" s="12"/>
    </row>
    <row r="4655" spans="9:39" x14ac:dyDescent="0.3">
      <c r="I4655" s="12"/>
      <c r="N4655" s="12"/>
      <c r="S4655" s="12"/>
      <c r="X4655" s="12"/>
      <c r="AM4655" s="12"/>
    </row>
    <row r="4656" spans="9:39" x14ac:dyDescent="0.3">
      <c r="I4656" s="12"/>
      <c r="N4656" s="12"/>
      <c r="S4656" s="12"/>
      <c r="X4656" s="12"/>
      <c r="AM4656" s="12"/>
    </row>
    <row r="4657" spans="9:39" x14ac:dyDescent="0.3">
      <c r="I4657" s="12"/>
      <c r="N4657" s="12"/>
      <c r="S4657" s="12"/>
      <c r="X4657" s="12"/>
      <c r="AM4657" s="12"/>
    </row>
    <row r="4658" spans="9:39" x14ac:dyDescent="0.3">
      <c r="I4658" s="12"/>
      <c r="N4658" s="12"/>
      <c r="S4658" s="12"/>
      <c r="X4658" s="12"/>
      <c r="AM4658" s="12"/>
    </row>
    <row r="4659" spans="9:39" x14ac:dyDescent="0.3">
      <c r="I4659" s="12"/>
      <c r="N4659" s="12"/>
      <c r="S4659" s="12"/>
      <c r="X4659" s="12"/>
      <c r="AM4659" s="12"/>
    </row>
    <row r="4660" spans="9:39" x14ac:dyDescent="0.3">
      <c r="I4660" s="12"/>
      <c r="N4660" s="12"/>
      <c r="S4660" s="12"/>
      <c r="X4660" s="12"/>
      <c r="AM4660" s="12"/>
    </row>
    <row r="4661" spans="9:39" x14ac:dyDescent="0.3">
      <c r="I4661" s="12"/>
      <c r="N4661" s="12"/>
      <c r="S4661" s="12"/>
      <c r="X4661" s="12"/>
      <c r="AM4661" s="12"/>
    </row>
    <row r="4662" spans="9:39" x14ac:dyDescent="0.3">
      <c r="I4662" s="12"/>
      <c r="N4662" s="12"/>
      <c r="S4662" s="12"/>
      <c r="X4662" s="12"/>
      <c r="AM4662" s="12"/>
    </row>
    <row r="4663" spans="9:39" x14ac:dyDescent="0.3">
      <c r="I4663" s="12"/>
      <c r="N4663" s="12"/>
      <c r="S4663" s="12"/>
      <c r="X4663" s="12"/>
      <c r="AM4663" s="12"/>
    </row>
    <row r="4664" spans="9:39" x14ac:dyDescent="0.3">
      <c r="I4664" s="12"/>
      <c r="N4664" s="12"/>
      <c r="S4664" s="12"/>
      <c r="X4664" s="12"/>
      <c r="AM4664" s="12"/>
    </row>
    <row r="4665" spans="9:39" x14ac:dyDescent="0.3">
      <c r="I4665" s="12"/>
      <c r="N4665" s="12"/>
      <c r="S4665" s="12"/>
      <c r="X4665" s="12"/>
      <c r="AM4665" s="12"/>
    </row>
    <row r="4666" spans="9:39" x14ac:dyDescent="0.3">
      <c r="I4666" s="12"/>
      <c r="N4666" s="12"/>
      <c r="S4666" s="12"/>
      <c r="X4666" s="12"/>
      <c r="AM4666" s="12"/>
    </row>
    <row r="4667" spans="9:39" x14ac:dyDescent="0.3">
      <c r="I4667" s="12"/>
      <c r="N4667" s="12"/>
      <c r="S4667" s="12"/>
      <c r="X4667" s="12"/>
      <c r="AM4667" s="12"/>
    </row>
    <row r="4668" spans="9:39" x14ac:dyDescent="0.3">
      <c r="I4668" s="12"/>
      <c r="N4668" s="12"/>
      <c r="S4668" s="12"/>
      <c r="X4668" s="12"/>
      <c r="AM4668" s="12"/>
    </row>
    <row r="4669" spans="9:39" x14ac:dyDescent="0.3">
      <c r="I4669" s="12"/>
      <c r="N4669" s="12"/>
      <c r="S4669" s="12"/>
      <c r="X4669" s="12"/>
      <c r="AM4669" s="12"/>
    </row>
    <row r="4670" spans="9:39" x14ac:dyDescent="0.3">
      <c r="I4670" s="12"/>
      <c r="N4670" s="12"/>
      <c r="S4670" s="12"/>
      <c r="X4670" s="12"/>
      <c r="AM4670" s="12"/>
    </row>
    <row r="4671" spans="9:39" x14ac:dyDescent="0.3">
      <c r="I4671" s="12"/>
      <c r="N4671" s="12"/>
      <c r="S4671" s="12"/>
      <c r="X4671" s="12"/>
      <c r="AM4671" s="12"/>
    </row>
    <row r="4672" spans="9:39" x14ac:dyDescent="0.3">
      <c r="I4672" s="12"/>
      <c r="N4672" s="12"/>
      <c r="S4672" s="12"/>
      <c r="X4672" s="12"/>
      <c r="AM4672" s="12"/>
    </row>
    <row r="4673" spans="9:39" x14ac:dyDescent="0.3">
      <c r="I4673" s="12"/>
      <c r="N4673" s="12"/>
      <c r="S4673" s="12"/>
      <c r="X4673" s="12"/>
      <c r="AM4673" s="12"/>
    </row>
    <row r="4674" spans="9:39" x14ac:dyDescent="0.3">
      <c r="I4674" s="12"/>
      <c r="N4674" s="12"/>
      <c r="S4674" s="12"/>
      <c r="X4674" s="12"/>
      <c r="AM4674" s="12"/>
    </row>
    <row r="4675" spans="9:39" x14ac:dyDescent="0.3">
      <c r="I4675" s="12"/>
      <c r="N4675" s="12"/>
      <c r="S4675" s="12"/>
      <c r="X4675" s="12"/>
      <c r="AM4675" s="12"/>
    </row>
    <row r="4676" spans="9:39" x14ac:dyDescent="0.3">
      <c r="I4676" s="12"/>
      <c r="N4676" s="12"/>
      <c r="S4676" s="12"/>
      <c r="X4676" s="12"/>
      <c r="AM4676" s="12"/>
    </row>
    <row r="4677" spans="9:39" x14ac:dyDescent="0.3">
      <c r="I4677" s="12"/>
      <c r="N4677" s="12"/>
      <c r="S4677" s="12"/>
      <c r="X4677" s="12"/>
      <c r="AM4677" s="12"/>
    </row>
    <row r="4678" spans="9:39" x14ac:dyDescent="0.3">
      <c r="I4678" s="12"/>
      <c r="N4678" s="12"/>
      <c r="S4678" s="12"/>
      <c r="X4678" s="12"/>
      <c r="AM4678" s="12"/>
    </row>
    <row r="4679" spans="9:39" x14ac:dyDescent="0.3">
      <c r="I4679" s="12"/>
      <c r="N4679" s="12"/>
      <c r="S4679" s="12"/>
      <c r="X4679" s="12"/>
      <c r="AM4679" s="12"/>
    </row>
    <row r="4680" spans="9:39" x14ac:dyDescent="0.3">
      <c r="I4680" s="12"/>
      <c r="N4680" s="12"/>
      <c r="S4680" s="12"/>
      <c r="X4680" s="12"/>
      <c r="AM4680" s="12"/>
    </row>
    <row r="4681" spans="9:39" x14ac:dyDescent="0.3">
      <c r="I4681" s="12"/>
      <c r="N4681" s="12"/>
      <c r="S4681" s="12"/>
      <c r="X4681" s="12"/>
      <c r="AM4681" s="12"/>
    </row>
    <row r="4682" spans="9:39" x14ac:dyDescent="0.3">
      <c r="I4682" s="12"/>
      <c r="N4682" s="12"/>
      <c r="S4682" s="12"/>
      <c r="X4682" s="12"/>
      <c r="AM4682" s="12"/>
    </row>
    <row r="4683" spans="9:39" x14ac:dyDescent="0.3">
      <c r="I4683" s="12"/>
      <c r="N4683" s="12"/>
      <c r="S4683" s="12"/>
      <c r="X4683" s="12"/>
      <c r="AM4683" s="12"/>
    </row>
    <row r="4684" spans="9:39" x14ac:dyDescent="0.3">
      <c r="I4684" s="12"/>
      <c r="N4684" s="12"/>
      <c r="S4684" s="12"/>
      <c r="X4684" s="12"/>
      <c r="AM4684" s="12"/>
    </row>
    <row r="4685" spans="9:39" x14ac:dyDescent="0.3">
      <c r="I4685" s="12"/>
      <c r="N4685" s="12"/>
      <c r="S4685" s="12"/>
      <c r="X4685" s="12"/>
      <c r="AM4685" s="12"/>
    </row>
    <row r="4686" spans="9:39" x14ac:dyDescent="0.3">
      <c r="I4686" s="12"/>
      <c r="N4686" s="12"/>
      <c r="S4686" s="12"/>
      <c r="X4686" s="12"/>
      <c r="AM4686" s="12"/>
    </row>
    <row r="4687" spans="9:39" x14ac:dyDescent="0.3">
      <c r="I4687" s="12"/>
      <c r="N4687" s="12"/>
      <c r="S4687" s="12"/>
      <c r="X4687" s="12"/>
      <c r="AM4687" s="12"/>
    </row>
    <row r="4688" spans="9:39" x14ac:dyDescent="0.3">
      <c r="I4688" s="12"/>
      <c r="N4688" s="12"/>
      <c r="S4688" s="12"/>
      <c r="X4688" s="12"/>
      <c r="AM4688" s="12"/>
    </row>
    <row r="4689" spans="9:39" x14ac:dyDescent="0.3">
      <c r="I4689" s="12"/>
      <c r="N4689" s="12"/>
      <c r="S4689" s="12"/>
      <c r="X4689" s="12"/>
      <c r="AM4689" s="12"/>
    </row>
    <row r="4690" spans="9:39" x14ac:dyDescent="0.3">
      <c r="I4690" s="12"/>
      <c r="N4690" s="12"/>
      <c r="S4690" s="12"/>
      <c r="X4690" s="12"/>
      <c r="AM4690" s="12"/>
    </row>
    <row r="4691" spans="9:39" x14ac:dyDescent="0.3">
      <c r="I4691" s="12"/>
      <c r="N4691" s="12"/>
      <c r="S4691" s="12"/>
      <c r="X4691" s="12"/>
      <c r="AM4691" s="12"/>
    </row>
    <row r="4692" spans="9:39" x14ac:dyDescent="0.3">
      <c r="I4692" s="12"/>
      <c r="N4692" s="12"/>
      <c r="S4692" s="12"/>
      <c r="X4692" s="12"/>
      <c r="AM4692" s="12"/>
    </row>
    <row r="4693" spans="9:39" x14ac:dyDescent="0.3">
      <c r="I4693" s="12"/>
      <c r="N4693" s="12"/>
      <c r="S4693" s="12"/>
      <c r="X4693" s="12"/>
      <c r="AM4693" s="12"/>
    </row>
    <row r="4694" spans="9:39" x14ac:dyDescent="0.3">
      <c r="I4694" s="12"/>
      <c r="N4694" s="12"/>
      <c r="S4694" s="12"/>
      <c r="X4694" s="12"/>
      <c r="AM4694" s="12"/>
    </row>
    <row r="4695" spans="9:39" x14ac:dyDescent="0.3">
      <c r="I4695" s="12"/>
      <c r="N4695" s="12"/>
      <c r="S4695" s="12"/>
      <c r="X4695" s="12"/>
      <c r="AM4695" s="12"/>
    </row>
    <row r="4696" spans="9:39" x14ac:dyDescent="0.3">
      <c r="I4696" s="12"/>
      <c r="N4696" s="12"/>
      <c r="S4696" s="12"/>
      <c r="X4696" s="12"/>
      <c r="AM4696" s="12"/>
    </row>
    <row r="4697" spans="9:39" x14ac:dyDescent="0.3">
      <c r="I4697" s="12"/>
      <c r="N4697" s="12"/>
      <c r="S4697" s="12"/>
      <c r="X4697" s="12"/>
      <c r="AM4697" s="12"/>
    </row>
    <row r="4698" spans="9:39" x14ac:dyDescent="0.3">
      <c r="I4698" s="12"/>
      <c r="N4698" s="12"/>
      <c r="S4698" s="12"/>
      <c r="X4698" s="12"/>
      <c r="AM4698" s="12"/>
    </row>
    <row r="4699" spans="9:39" x14ac:dyDescent="0.3">
      <c r="I4699" s="12"/>
      <c r="N4699" s="12"/>
      <c r="S4699" s="12"/>
      <c r="X4699" s="12"/>
      <c r="AM4699" s="12"/>
    </row>
    <row r="4700" spans="9:39" x14ac:dyDescent="0.3">
      <c r="I4700" s="12"/>
      <c r="N4700" s="12"/>
      <c r="S4700" s="12"/>
      <c r="X4700" s="12"/>
      <c r="AM4700" s="12"/>
    </row>
    <row r="4701" spans="9:39" x14ac:dyDescent="0.3">
      <c r="I4701" s="12"/>
      <c r="N4701" s="12"/>
      <c r="S4701" s="12"/>
      <c r="X4701" s="12"/>
      <c r="AM4701" s="12"/>
    </row>
    <row r="4702" spans="9:39" x14ac:dyDescent="0.3">
      <c r="I4702" s="12"/>
      <c r="N4702" s="12"/>
      <c r="S4702" s="12"/>
      <c r="X4702" s="12"/>
      <c r="AM4702" s="12"/>
    </row>
    <row r="4703" spans="9:39" x14ac:dyDescent="0.3">
      <c r="I4703" s="12"/>
      <c r="N4703" s="12"/>
      <c r="S4703" s="12"/>
      <c r="X4703" s="12"/>
      <c r="AM4703" s="12"/>
    </row>
    <row r="4704" spans="9:39" x14ac:dyDescent="0.3">
      <c r="I4704" s="12"/>
      <c r="N4704" s="12"/>
      <c r="S4704" s="12"/>
      <c r="X4704" s="12"/>
      <c r="AM4704" s="12"/>
    </row>
    <row r="4705" spans="9:39" x14ac:dyDescent="0.3">
      <c r="I4705" s="12"/>
      <c r="N4705" s="12"/>
      <c r="S4705" s="12"/>
      <c r="X4705" s="12"/>
      <c r="AM4705" s="12"/>
    </row>
    <row r="4706" spans="9:39" x14ac:dyDescent="0.3">
      <c r="I4706" s="12"/>
      <c r="N4706" s="12"/>
      <c r="S4706" s="12"/>
      <c r="X4706" s="12"/>
      <c r="AM4706" s="12"/>
    </row>
    <row r="4707" spans="9:39" x14ac:dyDescent="0.3">
      <c r="I4707" s="12"/>
      <c r="N4707" s="12"/>
      <c r="S4707" s="12"/>
      <c r="X4707" s="12"/>
      <c r="AM4707" s="12"/>
    </row>
    <row r="4708" spans="9:39" x14ac:dyDescent="0.3">
      <c r="I4708" s="12"/>
      <c r="N4708" s="12"/>
      <c r="S4708" s="12"/>
      <c r="X4708" s="12"/>
      <c r="AM4708" s="12"/>
    </row>
    <row r="4709" spans="9:39" x14ac:dyDescent="0.3">
      <c r="I4709" s="12"/>
      <c r="N4709" s="12"/>
      <c r="S4709" s="12"/>
      <c r="X4709" s="12"/>
      <c r="AM4709" s="12"/>
    </row>
    <row r="4710" spans="9:39" x14ac:dyDescent="0.3">
      <c r="I4710" s="12"/>
      <c r="N4710" s="12"/>
      <c r="S4710" s="12"/>
      <c r="X4710" s="12"/>
      <c r="AM4710" s="12"/>
    </row>
    <row r="4711" spans="9:39" x14ac:dyDescent="0.3">
      <c r="I4711" s="12"/>
      <c r="N4711" s="12"/>
      <c r="S4711" s="12"/>
      <c r="X4711" s="12"/>
      <c r="AM4711" s="12"/>
    </row>
    <row r="4712" spans="9:39" x14ac:dyDescent="0.3">
      <c r="I4712" s="12"/>
      <c r="N4712" s="12"/>
      <c r="S4712" s="12"/>
      <c r="X4712" s="12"/>
      <c r="AM4712" s="12"/>
    </row>
    <row r="4713" spans="9:39" x14ac:dyDescent="0.3">
      <c r="I4713" s="12"/>
      <c r="N4713" s="12"/>
      <c r="S4713" s="12"/>
      <c r="X4713" s="12"/>
      <c r="AM4713" s="12"/>
    </row>
    <row r="4714" spans="9:39" x14ac:dyDescent="0.3">
      <c r="I4714" s="12"/>
      <c r="N4714" s="12"/>
      <c r="S4714" s="12"/>
      <c r="X4714" s="12"/>
      <c r="AM4714" s="12"/>
    </row>
    <row r="4715" spans="9:39" x14ac:dyDescent="0.3">
      <c r="I4715" s="12"/>
      <c r="N4715" s="12"/>
      <c r="S4715" s="12"/>
      <c r="X4715" s="12"/>
      <c r="AM4715" s="12"/>
    </row>
    <row r="4716" spans="9:39" x14ac:dyDescent="0.3">
      <c r="I4716" s="12"/>
      <c r="N4716" s="12"/>
      <c r="S4716" s="12"/>
      <c r="X4716" s="12"/>
      <c r="AM4716" s="12"/>
    </row>
    <row r="4717" spans="9:39" x14ac:dyDescent="0.3">
      <c r="I4717" s="12"/>
      <c r="N4717" s="12"/>
      <c r="S4717" s="12"/>
      <c r="X4717" s="12"/>
      <c r="AM4717" s="12"/>
    </row>
    <row r="4718" spans="9:39" x14ac:dyDescent="0.3">
      <c r="I4718" s="12"/>
      <c r="N4718" s="12"/>
      <c r="S4718" s="12"/>
      <c r="X4718" s="12"/>
      <c r="AM4718" s="12"/>
    </row>
    <row r="4719" spans="9:39" x14ac:dyDescent="0.3">
      <c r="I4719" s="12"/>
      <c r="N4719" s="12"/>
      <c r="S4719" s="12"/>
      <c r="X4719" s="12"/>
      <c r="AM4719" s="12"/>
    </row>
    <row r="4720" spans="9:39" x14ac:dyDescent="0.3">
      <c r="I4720" s="12"/>
      <c r="N4720" s="12"/>
      <c r="S4720" s="12"/>
      <c r="X4720" s="12"/>
      <c r="AM4720" s="12"/>
    </row>
    <row r="4721" spans="9:39" x14ac:dyDescent="0.3">
      <c r="I4721" s="12"/>
      <c r="N4721" s="12"/>
      <c r="S4721" s="12"/>
      <c r="X4721" s="12"/>
      <c r="AM4721" s="12"/>
    </row>
    <row r="4722" spans="9:39" x14ac:dyDescent="0.3">
      <c r="I4722" s="12"/>
      <c r="N4722" s="12"/>
      <c r="S4722" s="12"/>
      <c r="X4722" s="12"/>
      <c r="AM4722" s="12"/>
    </row>
    <row r="4723" spans="9:39" x14ac:dyDescent="0.3">
      <c r="I4723" s="12"/>
      <c r="N4723" s="12"/>
      <c r="S4723" s="12"/>
      <c r="X4723" s="12"/>
      <c r="AM4723" s="12"/>
    </row>
    <row r="4724" spans="9:39" x14ac:dyDescent="0.3">
      <c r="I4724" s="12"/>
      <c r="N4724" s="12"/>
      <c r="S4724" s="12"/>
      <c r="X4724" s="12"/>
      <c r="AM4724" s="12"/>
    </row>
    <row r="4725" spans="9:39" x14ac:dyDescent="0.3">
      <c r="I4725" s="12"/>
      <c r="N4725" s="12"/>
      <c r="S4725" s="12"/>
      <c r="X4725" s="12"/>
      <c r="AM4725" s="12"/>
    </row>
    <row r="4726" spans="9:39" x14ac:dyDescent="0.3">
      <c r="I4726" s="12"/>
      <c r="N4726" s="12"/>
      <c r="S4726" s="12"/>
      <c r="X4726" s="12"/>
      <c r="AM4726" s="12"/>
    </row>
    <row r="4727" spans="9:39" x14ac:dyDescent="0.3">
      <c r="I4727" s="12"/>
      <c r="N4727" s="12"/>
      <c r="S4727" s="12"/>
      <c r="X4727" s="12"/>
      <c r="AM4727" s="12"/>
    </row>
    <row r="4728" spans="9:39" x14ac:dyDescent="0.3">
      <c r="I4728" s="12"/>
      <c r="N4728" s="12"/>
      <c r="S4728" s="12"/>
      <c r="X4728" s="12"/>
      <c r="AM4728" s="12"/>
    </row>
    <row r="4729" spans="9:39" x14ac:dyDescent="0.3">
      <c r="I4729" s="12"/>
      <c r="N4729" s="12"/>
      <c r="S4729" s="12"/>
      <c r="X4729" s="12"/>
      <c r="AM4729" s="12"/>
    </row>
    <row r="4730" spans="9:39" x14ac:dyDescent="0.3">
      <c r="I4730" s="12"/>
      <c r="N4730" s="12"/>
      <c r="S4730" s="12"/>
      <c r="X4730" s="12"/>
      <c r="AM4730" s="12"/>
    </row>
    <row r="4731" spans="9:39" x14ac:dyDescent="0.3">
      <c r="I4731" s="12"/>
      <c r="N4731" s="12"/>
      <c r="S4731" s="12"/>
      <c r="X4731" s="12"/>
      <c r="AM4731" s="12"/>
    </row>
    <row r="4732" spans="9:39" x14ac:dyDescent="0.3">
      <c r="I4732" s="12"/>
      <c r="N4732" s="12"/>
      <c r="S4732" s="12"/>
      <c r="X4732" s="12"/>
      <c r="AM4732" s="12"/>
    </row>
    <row r="4733" spans="9:39" x14ac:dyDescent="0.3">
      <c r="I4733" s="12"/>
      <c r="N4733" s="12"/>
      <c r="S4733" s="12"/>
      <c r="X4733" s="12"/>
      <c r="AM4733" s="12"/>
    </row>
    <row r="4734" spans="9:39" x14ac:dyDescent="0.3">
      <c r="I4734" s="12"/>
      <c r="N4734" s="12"/>
      <c r="S4734" s="12"/>
      <c r="X4734" s="12"/>
      <c r="AM4734" s="12"/>
    </row>
    <row r="4735" spans="9:39" x14ac:dyDescent="0.3">
      <c r="I4735" s="12"/>
      <c r="N4735" s="12"/>
      <c r="S4735" s="12"/>
      <c r="X4735" s="12"/>
      <c r="AM4735" s="12"/>
    </row>
    <row r="4736" spans="9:39" x14ac:dyDescent="0.3">
      <c r="I4736" s="12"/>
      <c r="N4736" s="12"/>
      <c r="S4736" s="12"/>
      <c r="X4736" s="12"/>
      <c r="AM4736" s="12"/>
    </row>
    <row r="4737" spans="9:39" x14ac:dyDescent="0.3">
      <c r="I4737" s="12"/>
      <c r="N4737" s="12"/>
      <c r="S4737" s="12"/>
      <c r="X4737" s="12"/>
      <c r="AM4737" s="12"/>
    </row>
    <row r="4738" spans="9:39" x14ac:dyDescent="0.3">
      <c r="I4738" s="12"/>
      <c r="N4738" s="12"/>
      <c r="S4738" s="12"/>
      <c r="X4738" s="12"/>
      <c r="AM4738" s="12"/>
    </row>
    <row r="4739" spans="9:39" x14ac:dyDescent="0.3">
      <c r="I4739" s="12"/>
      <c r="N4739" s="12"/>
      <c r="S4739" s="12"/>
      <c r="X4739" s="12"/>
      <c r="AM4739" s="12"/>
    </row>
    <row r="4740" spans="9:39" x14ac:dyDescent="0.3">
      <c r="I4740" s="12"/>
      <c r="N4740" s="12"/>
      <c r="S4740" s="12"/>
      <c r="X4740" s="12"/>
      <c r="AM4740" s="12"/>
    </row>
    <row r="4741" spans="9:39" x14ac:dyDescent="0.3">
      <c r="I4741" s="12"/>
      <c r="N4741" s="12"/>
      <c r="S4741" s="12"/>
      <c r="X4741" s="12"/>
      <c r="AM4741" s="12"/>
    </row>
    <row r="4742" spans="9:39" x14ac:dyDescent="0.3">
      <c r="I4742" s="12"/>
      <c r="N4742" s="12"/>
      <c r="S4742" s="12"/>
      <c r="X4742" s="12"/>
      <c r="AM4742" s="12"/>
    </row>
    <row r="4743" spans="9:39" x14ac:dyDescent="0.3">
      <c r="I4743" s="12"/>
      <c r="N4743" s="12"/>
      <c r="S4743" s="12"/>
      <c r="X4743" s="12"/>
      <c r="AM4743" s="12"/>
    </row>
    <row r="4744" spans="9:39" x14ac:dyDescent="0.3">
      <c r="I4744" s="12"/>
      <c r="N4744" s="12"/>
      <c r="S4744" s="12"/>
      <c r="X4744" s="12"/>
      <c r="AM4744" s="12"/>
    </row>
    <row r="4745" spans="9:39" x14ac:dyDescent="0.3">
      <c r="I4745" s="12"/>
      <c r="N4745" s="12"/>
      <c r="S4745" s="12"/>
      <c r="X4745" s="12"/>
      <c r="AM4745" s="12"/>
    </row>
    <row r="4746" spans="9:39" x14ac:dyDescent="0.3">
      <c r="I4746" s="12"/>
      <c r="N4746" s="12"/>
      <c r="S4746" s="12"/>
      <c r="X4746" s="12"/>
      <c r="AM4746" s="12"/>
    </row>
    <row r="4747" spans="9:39" x14ac:dyDescent="0.3">
      <c r="I4747" s="12"/>
      <c r="N4747" s="12"/>
      <c r="S4747" s="12"/>
      <c r="X4747" s="12"/>
      <c r="AM4747" s="12"/>
    </row>
    <row r="4748" spans="9:39" x14ac:dyDescent="0.3">
      <c r="I4748" s="12"/>
      <c r="N4748" s="12"/>
      <c r="S4748" s="12"/>
      <c r="X4748" s="12"/>
      <c r="AM4748" s="12"/>
    </row>
    <row r="4749" spans="9:39" x14ac:dyDescent="0.3">
      <c r="I4749" s="12"/>
      <c r="N4749" s="12"/>
      <c r="S4749" s="12"/>
      <c r="X4749" s="12"/>
      <c r="AM4749" s="12"/>
    </row>
    <row r="4750" spans="9:39" x14ac:dyDescent="0.3">
      <c r="I4750" s="12"/>
      <c r="N4750" s="12"/>
      <c r="S4750" s="12"/>
      <c r="X4750" s="12"/>
      <c r="AM4750" s="12"/>
    </row>
    <row r="4751" spans="9:39" x14ac:dyDescent="0.3">
      <c r="I4751" s="12"/>
      <c r="N4751" s="12"/>
      <c r="S4751" s="12"/>
      <c r="X4751" s="12"/>
      <c r="AM4751" s="12"/>
    </row>
    <row r="4752" spans="9:39" x14ac:dyDescent="0.3">
      <c r="I4752" s="12"/>
      <c r="N4752" s="12"/>
      <c r="S4752" s="12"/>
      <c r="X4752" s="12"/>
      <c r="AM4752" s="12"/>
    </row>
    <row r="4753" spans="9:39" x14ac:dyDescent="0.3">
      <c r="I4753" s="12"/>
      <c r="N4753" s="12"/>
      <c r="S4753" s="12"/>
      <c r="X4753" s="12"/>
      <c r="AM4753" s="12"/>
    </row>
    <row r="4754" spans="9:39" x14ac:dyDescent="0.3">
      <c r="I4754" s="12"/>
      <c r="N4754" s="12"/>
      <c r="S4754" s="12"/>
      <c r="X4754" s="12"/>
      <c r="AM4754" s="12"/>
    </row>
    <row r="4755" spans="9:39" x14ac:dyDescent="0.3">
      <c r="I4755" s="12"/>
      <c r="N4755" s="12"/>
      <c r="S4755" s="12"/>
      <c r="X4755" s="12"/>
      <c r="AM4755" s="12"/>
    </row>
    <row r="4756" spans="9:39" x14ac:dyDescent="0.3">
      <c r="I4756" s="12"/>
      <c r="N4756" s="12"/>
      <c r="S4756" s="12"/>
      <c r="X4756" s="12"/>
      <c r="AM4756" s="12"/>
    </row>
    <row r="4757" spans="9:39" x14ac:dyDescent="0.3">
      <c r="I4757" s="12"/>
      <c r="N4757" s="12"/>
      <c r="S4757" s="12"/>
      <c r="X4757" s="12"/>
      <c r="AM4757" s="12"/>
    </row>
    <row r="4758" spans="9:39" x14ac:dyDescent="0.3">
      <c r="I4758" s="12"/>
      <c r="N4758" s="12"/>
      <c r="S4758" s="12"/>
      <c r="X4758" s="12"/>
      <c r="AM4758" s="12"/>
    </row>
    <row r="4759" spans="9:39" x14ac:dyDescent="0.3">
      <c r="I4759" s="12"/>
      <c r="N4759" s="12"/>
      <c r="S4759" s="12"/>
      <c r="X4759" s="12"/>
      <c r="AM4759" s="12"/>
    </row>
    <row r="4760" spans="9:39" x14ac:dyDescent="0.3">
      <c r="I4760" s="12"/>
      <c r="N4760" s="12"/>
      <c r="S4760" s="12"/>
      <c r="X4760" s="12"/>
      <c r="AM4760" s="12"/>
    </row>
    <row r="4761" spans="9:39" x14ac:dyDescent="0.3">
      <c r="I4761" s="12"/>
      <c r="N4761" s="12"/>
      <c r="S4761" s="12"/>
      <c r="X4761" s="12"/>
      <c r="AM4761" s="12"/>
    </row>
    <row r="4762" spans="9:39" x14ac:dyDescent="0.3">
      <c r="I4762" s="12"/>
      <c r="N4762" s="12"/>
      <c r="S4762" s="12"/>
      <c r="X4762" s="12"/>
      <c r="AM4762" s="12"/>
    </row>
    <row r="4763" spans="9:39" x14ac:dyDescent="0.3">
      <c r="I4763" s="12"/>
      <c r="N4763" s="12"/>
      <c r="S4763" s="12"/>
      <c r="X4763" s="12"/>
      <c r="AM4763" s="12"/>
    </row>
    <row r="4764" spans="9:39" x14ac:dyDescent="0.3">
      <c r="I4764" s="12"/>
      <c r="N4764" s="12"/>
      <c r="S4764" s="12"/>
      <c r="X4764" s="12"/>
      <c r="AM4764" s="12"/>
    </row>
    <row r="4765" spans="9:39" x14ac:dyDescent="0.3">
      <c r="I4765" s="12"/>
      <c r="N4765" s="12"/>
      <c r="S4765" s="12"/>
      <c r="X4765" s="12"/>
      <c r="AM4765" s="12"/>
    </row>
    <row r="4766" spans="9:39" x14ac:dyDescent="0.3">
      <c r="I4766" s="12"/>
      <c r="N4766" s="12"/>
      <c r="S4766" s="12"/>
      <c r="X4766" s="12"/>
      <c r="AM4766" s="12"/>
    </row>
    <row r="4767" spans="9:39" x14ac:dyDescent="0.3">
      <c r="I4767" s="12"/>
      <c r="N4767" s="12"/>
      <c r="S4767" s="12"/>
      <c r="X4767" s="12"/>
      <c r="AM4767" s="12"/>
    </row>
    <row r="4768" spans="9:39" x14ac:dyDescent="0.3">
      <c r="I4768" s="12"/>
      <c r="N4768" s="12"/>
      <c r="S4768" s="12"/>
      <c r="X4768" s="12"/>
      <c r="AM4768" s="12"/>
    </row>
    <row r="4769" spans="9:39" x14ac:dyDescent="0.3">
      <c r="I4769" s="12"/>
      <c r="N4769" s="12"/>
      <c r="S4769" s="12"/>
      <c r="X4769" s="12"/>
      <c r="AM4769" s="12"/>
    </row>
    <row r="4770" spans="9:39" x14ac:dyDescent="0.3">
      <c r="I4770" s="12"/>
      <c r="N4770" s="12"/>
      <c r="S4770" s="12"/>
      <c r="X4770" s="12"/>
      <c r="AM4770" s="12"/>
    </row>
    <row r="4771" spans="9:39" x14ac:dyDescent="0.3">
      <c r="I4771" s="12"/>
      <c r="N4771" s="12"/>
      <c r="S4771" s="12"/>
      <c r="X4771" s="12"/>
      <c r="AM4771" s="12"/>
    </row>
    <row r="4772" spans="9:39" x14ac:dyDescent="0.3">
      <c r="I4772" s="12"/>
      <c r="N4772" s="12"/>
      <c r="S4772" s="12"/>
      <c r="X4772" s="12"/>
      <c r="AM4772" s="12"/>
    </row>
    <row r="4773" spans="9:39" x14ac:dyDescent="0.3">
      <c r="I4773" s="12"/>
      <c r="N4773" s="12"/>
      <c r="S4773" s="12"/>
      <c r="X4773" s="12"/>
      <c r="AM4773" s="12"/>
    </row>
    <row r="4774" spans="9:39" x14ac:dyDescent="0.3">
      <c r="I4774" s="12"/>
      <c r="N4774" s="12"/>
      <c r="S4774" s="12"/>
      <c r="X4774" s="12"/>
      <c r="AM4774" s="12"/>
    </row>
    <row r="4775" spans="9:39" x14ac:dyDescent="0.3">
      <c r="I4775" s="12"/>
      <c r="N4775" s="12"/>
      <c r="S4775" s="12"/>
      <c r="X4775" s="12"/>
      <c r="AM4775" s="12"/>
    </row>
    <row r="4776" spans="9:39" x14ac:dyDescent="0.3">
      <c r="I4776" s="12"/>
      <c r="N4776" s="12"/>
      <c r="S4776" s="12"/>
      <c r="X4776" s="12"/>
      <c r="AM4776" s="12"/>
    </row>
    <row r="4777" spans="9:39" x14ac:dyDescent="0.3">
      <c r="I4777" s="12"/>
      <c r="N4777" s="12"/>
      <c r="S4777" s="12"/>
      <c r="X4777" s="12"/>
      <c r="AM4777" s="12"/>
    </row>
    <row r="4778" spans="9:39" x14ac:dyDescent="0.3">
      <c r="I4778" s="12"/>
      <c r="N4778" s="12"/>
      <c r="S4778" s="12"/>
      <c r="X4778" s="12"/>
      <c r="AM4778" s="12"/>
    </row>
    <row r="4779" spans="9:39" x14ac:dyDescent="0.3">
      <c r="I4779" s="12"/>
      <c r="N4779" s="12"/>
      <c r="S4779" s="12"/>
      <c r="X4779" s="12"/>
      <c r="AM4779" s="12"/>
    </row>
    <row r="4780" spans="9:39" x14ac:dyDescent="0.3">
      <c r="I4780" s="12"/>
      <c r="N4780" s="12"/>
      <c r="S4780" s="12"/>
      <c r="X4780" s="12"/>
      <c r="AM4780" s="12"/>
    </row>
    <row r="4781" spans="9:39" x14ac:dyDescent="0.3">
      <c r="I4781" s="12"/>
      <c r="N4781" s="12"/>
      <c r="S4781" s="12"/>
      <c r="X4781" s="12"/>
      <c r="AM4781" s="12"/>
    </row>
    <row r="4782" spans="9:39" x14ac:dyDescent="0.3">
      <c r="I4782" s="12"/>
      <c r="N4782" s="12"/>
      <c r="S4782" s="12"/>
      <c r="X4782" s="12"/>
      <c r="AM4782" s="12"/>
    </row>
    <row r="4783" spans="9:39" x14ac:dyDescent="0.3">
      <c r="I4783" s="12"/>
      <c r="N4783" s="12"/>
      <c r="S4783" s="12"/>
      <c r="X4783" s="12"/>
      <c r="AM4783" s="12"/>
    </row>
    <row r="4784" spans="9:39" x14ac:dyDescent="0.3">
      <c r="I4784" s="12"/>
      <c r="N4784" s="12"/>
      <c r="S4784" s="12"/>
      <c r="X4784" s="12"/>
      <c r="AM4784" s="12"/>
    </row>
    <row r="4785" spans="9:39" x14ac:dyDescent="0.3">
      <c r="I4785" s="12"/>
      <c r="N4785" s="12"/>
      <c r="S4785" s="12"/>
      <c r="X4785" s="12"/>
      <c r="AM4785" s="12"/>
    </row>
    <row r="4786" spans="9:39" x14ac:dyDescent="0.3">
      <c r="I4786" s="12"/>
      <c r="N4786" s="12"/>
      <c r="S4786" s="12"/>
      <c r="X4786" s="12"/>
      <c r="AM4786" s="12"/>
    </row>
    <row r="4787" spans="9:39" x14ac:dyDescent="0.3">
      <c r="I4787" s="12"/>
      <c r="N4787" s="12"/>
      <c r="S4787" s="12"/>
      <c r="X4787" s="12"/>
      <c r="AM4787" s="12"/>
    </row>
    <row r="4788" spans="9:39" x14ac:dyDescent="0.3">
      <c r="I4788" s="12"/>
      <c r="N4788" s="12"/>
      <c r="S4788" s="12"/>
      <c r="X4788" s="12"/>
      <c r="AM4788" s="12"/>
    </row>
    <row r="4789" spans="9:39" x14ac:dyDescent="0.3">
      <c r="I4789" s="12"/>
      <c r="N4789" s="12"/>
      <c r="S4789" s="12"/>
      <c r="X4789" s="12"/>
      <c r="AM4789" s="12"/>
    </row>
    <row r="4790" spans="9:39" x14ac:dyDescent="0.3">
      <c r="I4790" s="12"/>
      <c r="N4790" s="12"/>
      <c r="S4790" s="12"/>
      <c r="X4790" s="12"/>
      <c r="AM4790" s="12"/>
    </row>
    <row r="4791" spans="9:39" x14ac:dyDescent="0.3">
      <c r="I4791" s="12"/>
      <c r="N4791" s="12"/>
      <c r="S4791" s="12"/>
      <c r="X4791" s="12"/>
      <c r="AM4791" s="12"/>
    </row>
    <row r="4792" spans="9:39" x14ac:dyDescent="0.3">
      <c r="I4792" s="12"/>
      <c r="N4792" s="12"/>
      <c r="S4792" s="12"/>
      <c r="X4792" s="12"/>
      <c r="AM4792" s="12"/>
    </row>
    <row r="4793" spans="9:39" x14ac:dyDescent="0.3">
      <c r="I4793" s="12"/>
      <c r="N4793" s="12"/>
      <c r="S4793" s="12"/>
      <c r="X4793" s="12"/>
      <c r="AM4793" s="12"/>
    </row>
    <row r="4794" spans="9:39" x14ac:dyDescent="0.3">
      <c r="I4794" s="12"/>
      <c r="N4794" s="12"/>
      <c r="S4794" s="12"/>
      <c r="X4794" s="12"/>
      <c r="AM4794" s="12"/>
    </row>
    <row r="4795" spans="9:39" x14ac:dyDescent="0.3">
      <c r="I4795" s="12"/>
      <c r="N4795" s="12"/>
      <c r="S4795" s="12"/>
      <c r="X4795" s="12"/>
      <c r="AM4795" s="12"/>
    </row>
    <row r="4796" spans="9:39" x14ac:dyDescent="0.3">
      <c r="I4796" s="12"/>
      <c r="N4796" s="12"/>
      <c r="S4796" s="12"/>
      <c r="X4796" s="12"/>
      <c r="AM4796" s="12"/>
    </row>
    <row r="4797" spans="9:39" x14ac:dyDescent="0.3">
      <c r="I4797" s="12"/>
      <c r="N4797" s="12"/>
      <c r="S4797" s="12"/>
      <c r="X4797" s="12"/>
      <c r="AM4797" s="12"/>
    </row>
    <row r="4798" spans="9:39" x14ac:dyDescent="0.3">
      <c r="I4798" s="12"/>
      <c r="N4798" s="12"/>
      <c r="S4798" s="12"/>
      <c r="X4798" s="12"/>
      <c r="AM4798" s="12"/>
    </row>
    <row r="4799" spans="9:39" x14ac:dyDescent="0.3">
      <c r="I4799" s="12"/>
      <c r="N4799" s="12"/>
      <c r="S4799" s="12"/>
      <c r="X4799" s="12"/>
      <c r="AM4799" s="12"/>
    </row>
    <row r="4800" spans="9:39" x14ac:dyDescent="0.3">
      <c r="I4800" s="12"/>
      <c r="N4800" s="12"/>
      <c r="S4800" s="12"/>
      <c r="X4800" s="12"/>
      <c r="AM4800" s="12"/>
    </row>
    <row r="4801" spans="9:39" x14ac:dyDescent="0.3">
      <c r="I4801" s="12"/>
      <c r="N4801" s="12"/>
      <c r="S4801" s="12"/>
      <c r="X4801" s="12"/>
      <c r="AM4801" s="12"/>
    </row>
    <row r="4802" spans="9:39" x14ac:dyDescent="0.3">
      <c r="I4802" s="12"/>
      <c r="N4802" s="12"/>
      <c r="S4802" s="12"/>
      <c r="X4802" s="12"/>
      <c r="AM4802" s="12"/>
    </row>
    <row r="4803" spans="9:39" x14ac:dyDescent="0.3">
      <c r="I4803" s="12"/>
      <c r="N4803" s="12"/>
      <c r="S4803" s="12"/>
      <c r="X4803" s="12"/>
      <c r="AM4803" s="12"/>
    </row>
    <row r="4804" spans="9:39" x14ac:dyDescent="0.3">
      <c r="I4804" s="12"/>
      <c r="N4804" s="12"/>
      <c r="S4804" s="12"/>
      <c r="X4804" s="12"/>
      <c r="AM4804" s="12"/>
    </row>
    <row r="4805" spans="9:39" x14ac:dyDescent="0.3">
      <c r="I4805" s="12"/>
      <c r="N4805" s="12"/>
      <c r="S4805" s="12"/>
      <c r="X4805" s="12"/>
      <c r="AM4805" s="12"/>
    </row>
    <row r="4806" spans="9:39" x14ac:dyDescent="0.3">
      <c r="I4806" s="12"/>
      <c r="N4806" s="12"/>
      <c r="S4806" s="12"/>
      <c r="X4806" s="12"/>
      <c r="AM4806" s="12"/>
    </row>
    <row r="4807" spans="9:39" x14ac:dyDescent="0.3">
      <c r="I4807" s="12"/>
      <c r="N4807" s="12"/>
      <c r="S4807" s="12"/>
      <c r="X4807" s="12"/>
      <c r="AM4807" s="12"/>
    </row>
    <row r="4808" spans="9:39" x14ac:dyDescent="0.3">
      <c r="I4808" s="12"/>
      <c r="N4808" s="12"/>
      <c r="S4808" s="12"/>
      <c r="X4808" s="12"/>
      <c r="AM4808" s="12"/>
    </row>
    <row r="4809" spans="9:39" x14ac:dyDescent="0.3">
      <c r="I4809" s="12"/>
      <c r="N4809" s="12"/>
      <c r="S4809" s="12"/>
      <c r="X4809" s="12"/>
      <c r="AM4809" s="12"/>
    </row>
    <row r="4810" spans="9:39" x14ac:dyDescent="0.3">
      <c r="I4810" s="12"/>
      <c r="N4810" s="12"/>
      <c r="S4810" s="12"/>
      <c r="X4810" s="12"/>
      <c r="AM4810" s="12"/>
    </row>
    <row r="4811" spans="9:39" x14ac:dyDescent="0.3">
      <c r="I4811" s="12"/>
      <c r="N4811" s="12"/>
      <c r="S4811" s="12"/>
      <c r="X4811" s="12"/>
      <c r="AM4811" s="12"/>
    </row>
    <row r="4812" spans="9:39" x14ac:dyDescent="0.3">
      <c r="I4812" s="12"/>
      <c r="N4812" s="12"/>
      <c r="S4812" s="12"/>
      <c r="X4812" s="12"/>
      <c r="AM4812" s="12"/>
    </row>
    <row r="4813" spans="9:39" x14ac:dyDescent="0.3">
      <c r="I4813" s="12"/>
      <c r="N4813" s="12"/>
      <c r="S4813" s="12"/>
      <c r="X4813" s="12"/>
      <c r="AM4813" s="12"/>
    </row>
    <row r="4814" spans="9:39" x14ac:dyDescent="0.3">
      <c r="I4814" s="12"/>
      <c r="N4814" s="12"/>
      <c r="S4814" s="12"/>
      <c r="X4814" s="12"/>
      <c r="AM4814" s="12"/>
    </row>
    <row r="4815" spans="9:39" x14ac:dyDescent="0.3">
      <c r="I4815" s="12"/>
      <c r="N4815" s="12"/>
      <c r="S4815" s="12"/>
      <c r="X4815" s="12"/>
      <c r="AM4815" s="12"/>
    </row>
    <row r="4816" spans="9:39" x14ac:dyDescent="0.3">
      <c r="I4816" s="12"/>
      <c r="N4816" s="12"/>
      <c r="S4816" s="12"/>
      <c r="X4816" s="12"/>
      <c r="AM4816" s="12"/>
    </row>
    <row r="4817" spans="9:39" x14ac:dyDescent="0.3">
      <c r="I4817" s="12"/>
      <c r="N4817" s="12"/>
      <c r="S4817" s="12"/>
      <c r="X4817" s="12"/>
      <c r="AM4817" s="12"/>
    </row>
    <row r="4818" spans="9:39" x14ac:dyDescent="0.3">
      <c r="I4818" s="12"/>
      <c r="N4818" s="12"/>
      <c r="S4818" s="12"/>
      <c r="X4818" s="12"/>
      <c r="AM4818" s="12"/>
    </row>
    <row r="4819" spans="9:39" x14ac:dyDescent="0.3">
      <c r="I4819" s="12"/>
      <c r="N4819" s="12"/>
      <c r="S4819" s="12"/>
      <c r="X4819" s="12"/>
      <c r="AM4819" s="12"/>
    </row>
    <row r="4820" spans="9:39" x14ac:dyDescent="0.3">
      <c r="I4820" s="12"/>
      <c r="N4820" s="12"/>
      <c r="S4820" s="12"/>
      <c r="X4820" s="12"/>
      <c r="AM4820" s="12"/>
    </row>
    <row r="4821" spans="9:39" x14ac:dyDescent="0.3">
      <c r="I4821" s="12"/>
      <c r="N4821" s="12"/>
      <c r="S4821" s="12"/>
      <c r="X4821" s="12"/>
      <c r="AM4821" s="12"/>
    </row>
    <row r="4822" spans="9:39" x14ac:dyDescent="0.3">
      <c r="I4822" s="12"/>
      <c r="N4822" s="12"/>
      <c r="S4822" s="12"/>
      <c r="X4822" s="12"/>
      <c r="AM4822" s="12"/>
    </row>
    <row r="4823" spans="9:39" x14ac:dyDescent="0.3">
      <c r="I4823" s="12"/>
      <c r="N4823" s="12"/>
      <c r="S4823" s="12"/>
      <c r="X4823" s="12"/>
      <c r="AM4823" s="12"/>
    </row>
    <row r="4824" spans="9:39" x14ac:dyDescent="0.3">
      <c r="I4824" s="12"/>
      <c r="N4824" s="12"/>
      <c r="S4824" s="12"/>
      <c r="X4824" s="12"/>
      <c r="AM4824" s="12"/>
    </row>
    <row r="4825" spans="9:39" x14ac:dyDescent="0.3">
      <c r="I4825" s="12"/>
      <c r="N4825" s="12"/>
      <c r="S4825" s="12"/>
      <c r="X4825" s="12"/>
      <c r="AM4825" s="12"/>
    </row>
    <row r="4826" spans="9:39" x14ac:dyDescent="0.3">
      <c r="I4826" s="12"/>
      <c r="N4826" s="12"/>
      <c r="S4826" s="12"/>
      <c r="X4826" s="12"/>
      <c r="AM4826" s="12"/>
    </row>
    <row r="4827" spans="9:39" x14ac:dyDescent="0.3">
      <c r="I4827" s="12"/>
      <c r="N4827" s="12"/>
      <c r="S4827" s="12"/>
      <c r="X4827" s="12"/>
      <c r="AM4827" s="12"/>
    </row>
    <row r="4828" spans="9:39" x14ac:dyDescent="0.3">
      <c r="I4828" s="12"/>
      <c r="N4828" s="12"/>
      <c r="S4828" s="12"/>
      <c r="X4828" s="12"/>
      <c r="AM4828" s="12"/>
    </row>
    <row r="4829" spans="9:39" x14ac:dyDescent="0.3">
      <c r="I4829" s="12"/>
      <c r="N4829" s="12"/>
      <c r="S4829" s="12"/>
      <c r="X4829" s="12"/>
      <c r="AM4829" s="12"/>
    </row>
    <row r="4830" spans="9:39" x14ac:dyDescent="0.3">
      <c r="I4830" s="12"/>
      <c r="N4830" s="12"/>
      <c r="S4830" s="12"/>
      <c r="X4830" s="12"/>
      <c r="AM4830" s="12"/>
    </row>
    <row r="4831" spans="9:39" x14ac:dyDescent="0.3">
      <c r="I4831" s="12"/>
      <c r="N4831" s="12"/>
      <c r="S4831" s="12"/>
      <c r="X4831" s="12"/>
      <c r="AM4831" s="12"/>
    </row>
    <row r="4832" spans="9:39" x14ac:dyDescent="0.3">
      <c r="I4832" s="12"/>
      <c r="N4832" s="12"/>
      <c r="S4832" s="12"/>
      <c r="X4832" s="12"/>
      <c r="AM4832" s="12"/>
    </row>
    <row r="4833" spans="9:39" x14ac:dyDescent="0.3">
      <c r="I4833" s="12"/>
      <c r="N4833" s="12"/>
      <c r="S4833" s="12"/>
      <c r="X4833" s="12"/>
      <c r="AM4833" s="12"/>
    </row>
    <row r="4834" spans="9:39" x14ac:dyDescent="0.3">
      <c r="I4834" s="12"/>
      <c r="N4834" s="12"/>
      <c r="S4834" s="12"/>
      <c r="X4834" s="12"/>
      <c r="AM4834" s="12"/>
    </row>
    <row r="4835" spans="9:39" x14ac:dyDescent="0.3">
      <c r="I4835" s="12"/>
      <c r="N4835" s="12"/>
      <c r="S4835" s="12"/>
      <c r="X4835" s="12"/>
      <c r="AM4835" s="12"/>
    </row>
    <row r="4836" spans="9:39" x14ac:dyDescent="0.3">
      <c r="I4836" s="12"/>
      <c r="N4836" s="12"/>
      <c r="S4836" s="12"/>
      <c r="X4836" s="12"/>
      <c r="AM4836" s="12"/>
    </row>
    <row r="4837" spans="9:39" x14ac:dyDescent="0.3">
      <c r="I4837" s="12"/>
      <c r="N4837" s="12"/>
      <c r="S4837" s="12"/>
      <c r="X4837" s="12"/>
      <c r="AM4837" s="12"/>
    </row>
    <row r="4838" spans="9:39" x14ac:dyDescent="0.3">
      <c r="I4838" s="12"/>
      <c r="N4838" s="12"/>
      <c r="S4838" s="12"/>
      <c r="X4838" s="12"/>
      <c r="AM4838" s="12"/>
    </row>
    <row r="4839" spans="9:39" x14ac:dyDescent="0.3">
      <c r="I4839" s="12"/>
      <c r="N4839" s="12"/>
      <c r="S4839" s="12"/>
      <c r="X4839" s="12"/>
      <c r="AM4839" s="12"/>
    </row>
    <row r="4840" spans="9:39" x14ac:dyDescent="0.3">
      <c r="I4840" s="12"/>
      <c r="N4840" s="12"/>
      <c r="S4840" s="12"/>
      <c r="X4840" s="12"/>
      <c r="AM4840" s="12"/>
    </row>
    <row r="4841" spans="9:39" x14ac:dyDescent="0.3">
      <c r="I4841" s="12"/>
      <c r="N4841" s="12"/>
      <c r="S4841" s="12"/>
      <c r="X4841" s="12"/>
      <c r="AM4841" s="12"/>
    </row>
    <row r="4842" spans="9:39" x14ac:dyDescent="0.3">
      <c r="I4842" s="12"/>
      <c r="N4842" s="12"/>
      <c r="S4842" s="12"/>
      <c r="X4842" s="12"/>
      <c r="AM4842" s="12"/>
    </row>
    <row r="4843" spans="9:39" x14ac:dyDescent="0.3">
      <c r="I4843" s="12"/>
      <c r="N4843" s="12"/>
      <c r="S4843" s="12"/>
      <c r="X4843" s="12"/>
      <c r="AM4843" s="12"/>
    </row>
    <row r="4844" spans="9:39" x14ac:dyDescent="0.3">
      <c r="I4844" s="12"/>
      <c r="N4844" s="12"/>
      <c r="S4844" s="12"/>
      <c r="X4844" s="12"/>
      <c r="AM4844" s="12"/>
    </row>
    <row r="4845" spans="9:39" x14ac:dyDescent="0.3">
      <c r="I4845" s="12"/>
      <c r="N4845" s="12"/>
      <c r="S4845" s="12"/>
      <c r="X4845" s="12"/>
      <c r="AM4845" s="12"/>
    </row>
    <row r="4846" spans="9:39" x14ac:dyDescent="0.3">
      <c r="I4846" s="12"/>
      <c r="N4846" s="12"/>
      <c r="S4846" s="12"/>
      <c r="X4846" s="12"/>
      <c r="AM4846" s="12"/>
    </row>
    <row r="4847" spans="9:39" x14ac:dyDescent="0.3">
      <c r="I4847" s="12"/>
      <c r="N4847" s="12"/>
      <c r="S4847" s="12"/>
      <c r="X4847" s="12"/>
      <c r="AM4847" s="12"/>
    </row>
    <row r="4848" spans="9:39" x14ac:dyDescent="0.3">
      <c r="I4848" s="12"/>
      <c r="N4848" s="12"/>
      <c r="S4848" s="12"/>
      <c r="X4848" s="12"/>
      <c r="AM4848" s="12"/>
    </row>
    <row r="4849" spans="9:39" x14ac:dyDescent="0.3">
      <c r="I4849" s="12"/>
      <c r="N4849" s="12"/>
      <c r="S4849" s="12"/>
      <c r="X4849" s="12"/>
      <c r="AM4849" s="12"/>
    </row>
    <row r="4850" spans="9:39" x14ac:dyDescent="0.3">
      <c r="I4850" s="12"/>
      <c r="N4850" s="12"/>
      <c r="S4850" s="12"/>
      <c r="X4850" s="12"/>
      <c r="AM4850" s="12"/>
    </row>
    <row r="4851" spans="9:39" x14ac:dyDescent="0.3">
      <c r="I4851" s="12"/>
      <c r="N4851" s="12"/>
      <c r="S4851" s="12"/>
      <c r="X4851" s="12"/>
      <c r="AM4851" s="12"/>
    </row>
    <row r="4852" spans="9:39" x14ac:dyDescent="0.3">
      <c r="I4852" s="12"/>
      <c r="N4852" s="12"/>
      <c r="S4852" s="12"/>
      <c r="X4852" s="12"/>
      <c r="AM4852" s="12"/>
    </row>
    <row r="4853" spans="9:39" x14ac:dyDescent="0.3">
      <c r="I4853" s="12"/>
      <c r="N4853" s="12"/>
      <c r="S4853" s="12"/>
      <c r="X4853" s="12"/>
      <c r="AM4853" s="12"/>
    </row>
    <row r="4854" spans="9:39" x14ac:dyDescent="0.3">
      <c r="I4854" s="12"/>
      <c r="N4854" s="12"/>
      <c r="S4854" s="12"/>
      <c r="X4854" s="12"/>
      <c r="AM4854" s="12"/>
    </row>
    <row r="4855" spans="9:39" x14ac:dyDescent="0.3">
      <c r="I4855" s="12"/>
      <c r="N4855" s="12"/>
      <c r="S4855" s="12"/>
      <c r="X4855" s="12"/>
      <c r="AM4855" s="12"/>
    </row>
    <row r="4856" spans="9:39" x14ac:dyDescent="0.3">
      <c r="I4856" s="12"/>
      <c r="N4856" s="12"/>
      <c r="S4856" s="12"/>
      <c r="X4856" s="12"/>
      <c r="AM4856" s="12"/>
    </row>
    <row r="4857" spans="9:39" x14ac:dyDescent="0.3">
      <c r="I4857" s="12"/>
      <c r="N4857" s="12"/>
      <c r="S4857" s="12"/>
      <c r="X4857" s="12"/>
      <c r="AM4857" s="12"/>
    </row>
    <row r="4858" spans="9:39" x14ac:dyDescent="0.3">
      <c r="I4858" s="12"/>
      <c r="N4858" s="12"/>
      <c r="S4858" s="12"/>
      <c r="X4858" s="12"/>
      <c r="AM4858" s="12"/>
    </row>
    <row r="4859" spans="9:39" x14ac:dyDescent="0.3">
      <c r="I4859" s="12"/>
      <c r="N4859" s="12"/>
      <c r="S4859" s="12"/>
      <c r="X4859" s="12"/>
      <c r="AM4859" s="12"/>
    </row>
    <row r="4860" spans="9:39" x14ac:dyDescent="0.3">
      <c r="I4860" s="12"/>
      <c r="N4860" s="12"/>
      <c r="S4860" s="12"/>
      <c r="X4860" s="12"/>
      <c r="AM4860" s="12"/>
    </row>
    <row r="4861" spans="9:39" x14ac:dyDescent="0.3">
      <c r="I4861" s="12"/>
      <c r="N4861" s="12"/>
      <c r="S4861" s="12"/>
      <c r="X4861" s="12"/>
      <c r="AM4861" s="12"/>
    </row>
    <row r="4862" spans="9:39" x14ac:dyDescent="0.3">
      <c r="I4862" s="12"/>
      <c r="N4862" s="12"/>
      <c r="S4862" s="12"/>
      <c r="X4862" s="12"/>
      <c r="AM4862" s="12"/>
    </row>
    <row r="4863" spans="9:39" x14ac:dyDescent="0.3">
      <c r="I4863" s="12"/>
      <c r="N4863" s="12"/>
      <c r="S4863" s="12"/>
      <c r="X4863" s="12"/>
      <c r="AM4863" s="12"/>
    </row>
    <row r="4864" spans="9:39" x14ac:dyDescent="0.3">
      <c r="I4864" s="12"/>
      <c r="N4864" s="12"/>
      <c r="S4864" s="12"/>
      <c r="X4864" s="12"/>
      <c r="AM4864" s="12"/>
    </row>
    <row r="4865" spans="9:39" x14ac:dyDescent="0.3">
      <c r="I4865" s="12"/>
      <c r="N4865" s="12"/>
      <c r="S4865" s="12"/>
      <c r="X4865" s="12"/>
      <c r="AM4865" s="12"/>
    </row>
    <row r="4866" spans="9:39" x14ac:dyDescent="0.3">
      <c r="I4866" s="12"/>
      <c r="N4866" s="12"/>
      <c r="S4866" s="12"/>
      <c r="X4866" s="12"/>
      <c r="AM4866" s="12"/>
    </row>
    <row r="4867" spans="9:39" x14ac:dyDescent="0.3">
      <c r="I4867" s="12"/>
      <c r="N4867" s="12"/>
      <c r="S4867" s="12"/>
      <c r="X4867" s="12"/>
      <c r="AM4867" s="12"/>
    </row>
    <row r="4868" spans="9:39" x14ac:dyDescent="0.3">
      <c r="I4868" s="12"/>
      <c r="N4868" s="12"/>
      <c r="S4868" s="12"/>
      <c r="X4868" s="12"/>
      <c r="AM4868" s="12"/>
    </row>
    <row r="4869" spans="9:39" x14ac:dyDescent="0.3">
      <c r="I4869" s="12"/>
      <c r="N4869" s="12"/>
      <c r="S4869" s="12"/>
      <c r="X4869" s="12"/>
      <c r="AM4869" s="12"/>
    </row>
    <row r="4870" spans="9:39" x14ac:dyDescent="0.3">
      <c r="I4870" s="12"/>
      <c r="N4870" s="12"/>
      <c r="S4870" s="12"/>
      <c r="X4870" s="12"/>
      <c r="AM4870" s="12"/>
    </row>
    <row r="4871" spans="9:39" x14ac:dyDescent="0.3">
      <c r="I4871" s="12"/>
      <c r="N4871" s="12"/>
      <c r="S4871" s="12"/>
      <c r="X4871" s="12"/>
      <c r="AM4871" s="12"/>
    </row>
    <row r="4872" spans="9:39" x14ac:dyDescent="0.3">
      <c r="I4872" s="12"/>
      <c r="N4872" s="12"/>
      <c r="S4872" s="12"/>
      <c r="X4872" s="12"/>
      <c r="AM4872" s="12"/>
    </row>
    <row r="4873" spans="9:39" x14ac:dyDescent="0.3">
      <c r="I4873" s="12"/>
      <c r="N4873" s="12"/>
      <c r="S4873" s="12"/>
      <c r="X4873" s="12"/>
      <c r="AM4873" s="12"/>
    </row>
    <row r="4874" spans="9:39" x14ac:dyDescent="0.3">
      <c r="I4874" s="12"/>
      <c r="N4874" s="12"/>
      <c r="S4874" s="12"/>
      <c r="X4874" s="12"/>
      <c r="AM4874" s="12"/>
    </row>
    <row r="4875" spans="9:39" x14ac:dyDescent="0.3">
      <c r="I4875" s="12"/>
      <c r="N4875" s="12"/>
      <c r="S4875" s="12"/>
      <c r="X4875" s="12"/>
      <c r="AM4875" s="12"/>
    </row>
    <row r="4876" spans="9:39" x14ac:dyDescent="0.3">
      <c r="I4876" s="12"/>
      <c r="N4876" s="12"/>
      <c r="S4876" s="12"/>
      <c r="X4876" s="12"/>
      <c r="AM4876" s="12"/>
    </row>
    <row r="4877" spans="9:39" x14ac:dyDescent="0.3">
      <c r="I4877" s="12"/>
      <c r="N4877" s="12"/>
      <c r="S4877" s="12"/>
      <c r="X4877" s="12"/>
      <c r="AM4877" s="12"/>
    </row>
    <row r="4878" spans="9:39" x14ac:dyDescent="0.3">
      <c r="I4878" s="12"/>
      <c r="N4878" s="12"/>
      <c r="S4878" s="12"/>
      <c r="X4878" s="12"/>
      <c r="AM4878" s="12"/>
    </row>
    <row r="4879" spans="9:39" x14ac:dyDescent="0.3">
      <c r="I4879" s="12"/>
      <c r="N4879" s="12"/>
      <c r="S4879" s="12"/>
      <c r="X4879" s="12"/>
      <c r="AM4879" s="12"/>
    </row>
    <row r="4880" spans="9:39" x14ac:dyDescent="0.3">
      <c r="I4880" s="12"/>
      <c r="N4880" s="12"/>
      <c r="S4880" s="12"/>
      <c r="X4880" s="12"/>
      <c r="AM4880" s="12"/>
    </row>
    <row r="4881" spans="9:39" x14ac:dyDescent="0.3">
      <c r="I4881" s="12"/>
      <c r="N4881" s="12"/>
      <c r="S4881" s="12"/>
      <c r="X4881" s="12"/>
      <c r="AM4881" s="12"/>
    </row>
    <row r="4882" spans="9:39" x14ac:dyDescent="0.3">
      <c r="I4882" s="12"/>
      <c r="N4882" s="12"/>
      <c r="S4882" s="12"/>
      <c r="X4882" s="12"/>
      <c r="AM4882" s="12"/>
    </row>
    <row r="4883" spans="9:39" x14ac:dyDescent="0.3">
      <c r="I4883" s="12"/>
      <c r="N4883" s="12"/>
      <c r="S4883" s="12"/>
      <c r="X4883" s="12"/>
      <c r="AM4883" s="12"/>
    </row>
    <row r="4884" spans="9:39" x14ac:dyDescent="0.3">
      <c r="I4884" s="12"/>
      <c r="N4884" s="12"/>
      <c r="S4884" s="12"/>
      <c r="X4884" s="12"/>
      <c r="AM4884" s="12"/>
    </row>
    <row r="4885" spans="9:39" x14ac:dyDescent="0.3">
      <c r="I4885" s="12"/>
      <c r="N4885" s="12"/>
      <c r="S4885" s="12"/>
      <c r="X4885" s="12"/>
      <c r="AM4885" s="12"/>
    </row>
    <row r="4886" spans="9:39" x14ac:dyDescent="0.3">
      <c r="I4886" s="12"/>
      <c r="N4886" s="12"/>
      <c r="S4886" s="12"/>
      <c r="X4886" s="12"/>
      <c r="AM4886" s="12"/>
    </row>
    <row r="4887" spans="9:39" x14ac:dyDescent="0.3">
      <c r="I4887" s="12"/>
      <c r="N4887" s="12"/>
      <c r="S4887" s="12"/>
      <c r="X4887" s="12"/>
      <c r="AM4887" s="12"/>
    </row>
    <row r="4888" spans="9:39" x14ac:dyDescent="0.3">
      <c r="I4888" s="12"/>
      <c r="N4888" s="12"/>
      <c r="S4888" s="12"/>
      <c r="X4888" s="12"/>
      <c r="AM4888" s="12"/>
    </row>
    <row r="4889" spans="9:39" x14ac:dyDescent="0.3">
      <c r="I4889" s="12"/>
      <c r="N4889" s="12"/>
      <c r="S4889" s="12"/>
      <c r="X4889" s="12"/>
      <c r="AM4889" s="12"/>
    </row>
    <row r="4890" spans="9:39" x14ac:dyDescent="0.3">
      <c r="I4890" s="12"/>
      <c r="N4890" s="12"/>
      <c r="S4890" s="12"/>
      <c r="X4890" s="12"/>
      <c r="AM4890" s="12"/>
    </row>
    <row r="4891" spans="9:39" x14ac:dyDescent="0.3">
      <c r="I4891" s="12"/>
      <c r="N4891" s="12"/>
      <c r="S4891" s="12"/>
      <c r="X4891" s="12"/>
      <c r="AM4891" s="12"/>
    </row>
    <row r="4892" spans="9:39" x14ac:dyDescent="0.3">
      <c r="I4892" s="12"/>
      <c r="N4892" s="12"/>
      <c r="S4892" s="12"/>
      <c r="X4892" s="12"/>
      <c r="AM4892" s="12"/>
    </row>
    <row r="4893" spans="9:39" x14ac:dyDescent="0.3">
      <c r="I4893" s="12"/>
      <c r="N4893" s="12"/>
      <c r="S4893" s="12"/>
      <c r="X4893" s="12"/>
      <c r="AM4893" s="12"/>
    </row>
    <row r="4894" spans="9:39" x14ac:dyDescent="0.3">
      <c r="I4894" s="12"/>
      <c r="N4894" s="12"/>
      <c r="S4894" s="12"/>
      <c r="X4894" s="12"/>
      <c r="AM4894" s="12"/>
    </row>
    <row r="4895" spans="9:39" x14ac:dyDescent="0.3">
      <c r="I4895" s="12"/>
      <c r="N4895" s="12"/>
      <c r="S4895" s="12"/>
      <c r="X4895" s="12"/>
      <c r="AM4895" s="12"/>
    </row>
    <row r="4896" spans="9:39" x14ac:dyDescent="0.3">
      <c r="I4896" s="12"/>
      <c r="N4896" s="12"/>
      <c r="S4896" s="12"/>
      <c r="X4896" s="12"/>
      <c r="AM4896" s="12"/>
    </row>
    <row r="4897" spans="9:39" x14ac:dyDescent="0.3">
      <c r="I4897" s="12"/>
      <c r="N4897" s="12"/>
      <c r="S4897" s="12"/>
      <c r="X4897" s="12"/>
      <c r="AM4897" s="12"/>
    </row>
    <row r="4898" spans="9:39" x14ac:dyDescent="0.3">
      <c r="I4898" s="12"/>
      <c r="N4898" s="12"/>
      <c r="S4898" s="12"/>
      <c r="X4898" s="12"/>
      <c r="AM4898" s="12"/>
    </row>
    <row r="4899" spans="9:39" x14ac:dyDescent="0.3">
      <c r="I4899" s="12"/>
      <c r="N4899" s="12"/>
      <c r="S4899" s="12"/>
      <c r="X4899" s="12"/>
      <c r="AM4899" s="12"/>
    </row>
    <row r="4900" spans="9:39" x14ac:dyDescent="0.3">
      <c r="I4900" s="12"/>
      <c r="N4900" s="12"/>
      <c r="S4900" s="12"/>
      <c r="X4900" s="12"/>
      <c r="AM4900" s="12"/>
    </row>
    <row r="4901" spans="9:39" x14ac:dyDescent="0.3">
      <c r="I4901" s="12"/>
      <c r="N4901" s="12"/>
      <c r="S4901" s="12"/>
      <c r="X4901" s="12"/>
      <c r="AM4901" s="12"/>
    </row>
    <row r="4902" spans="9:39" x14ac:dyDescent="0.3">
      <c r="I4902" s="12"/>
      <c r="N4902" s="12"/>
      <c r="S4902" s="12"/>
      <c r="X4902" s="12"/>
      <c r="AM4902" s="12"/>
    </row>
    <row r="4903" spans="9:39" x14ac:dyDescent="0.3">
      <c r="I4903" s="12"/>
      <c r="N4903" s="12"/>
      <c r="S4903" s="12"/>
      <c r="X4903" s="12"/>
      <c r="AM4903" s="12"/>
    </row>
    <row r="4904" spans="9:39" x14ac:dyDescent="0.3">
      <c r="I4904" s="12"/>
      <c r="N4904" s="12"/>
      <c r="S4904" s="12"/>
      <c r="X4904" s="12"/>
      <c r="AM4904" s="12"/>
    </row>
    <row r="4905" spans="9:39" x14ac:dyDescent="0.3">
      <c r="I4905" s="12"/>
      <c r="N4905" s="12"/>
      <c r="S4905" s="12"/>
      <c r="X4905" s="12"/>
      <c r="AM4905" s="12"/>
    </row>
    <row r="4906" spans="9:39" x14ac:dyDescent="0.3">
      <c r="I4906" s="12"/>
      <c r="N4906" s="12"/>
      <c r="S4906" s="12"/>
      <c r="X4906" s="12"/>
      <c r="AM4906" s="12"/>
    </row>
    <row r="4907" spans="9:39" x14ac:dyDescent="0.3">
      <c r="I4907" s="12"/>
      <c r="N4907" s="12"/>
      <c r="S4907" s="12"/>
      <c r="X4907" s="12"/>
      <c r="AM4907" s="12"/>
    </row>
    <row r="4908" spans="9:39" x14ac:dyDescent="0.3">
      <c r="I4908" s="12"/>
      <c r="N4908" s="12"/>
      <c r="S4908" s="12"/>
      <c r="X4908" s="12"/>
      <c r="AM4908" s="12"/>
    </row>
    <row r="4909" spans="9:39" x14ac:dyDescent="0.3">
      <c r="I4909" s="12"/>
      <c r="N4909" s="12"/>
      <c r="S4909" s="12"/>
      <c r="X4909" s="12"/>
      <c r="AM4909" s="12"/>
    </row>
    <row r="4910" spans="9:39" x14ac:dyDescent="0.3">
      <c r="I4910" s="12"/>
      <c r="N4910" s="12"/>
      <c r="S4910" s="12"/>
      <c r="X4910" s="12"/>
      <c r="AM4910" s="12"/>
    </row>
    <row r="4911" spans="9:39" x14ac:dyDescent="0.3">
      <c r="I4911" s="12"/>
      <c r="N4911" s="12"/>
      <c r="S4911" s="12"/>
      <c r="X4911" s="12"/>
      <c r="AM4911" s="12"/>
    </row>
    <row r="4912" spans="9:39" x14ac:dyDescent="0.3">
      <c r="I4912" s="12"/>
      <c r="N4912" s="12"/>
      <c r="S4912" s="12"/>
      <c r="X4912" s="12"/>
      <c r="AM4912" s="12"/>
    </row>
    <row r="4913" spans="9:39" x14ac:dyDescent="0.3">
      <c r="I4913" s="12"/>
      <c r="N4913" s="12"/>
      <c r="S4913" s="12"/>
      <c r="X4913" s="12"/>
      <c r="AM4913" s="12"/>
    </row>
    <row r="4914" spans="9:39" x14ac:dyDescent="0.3">
      <c r="I4914" s="12"/>
      <c r="N4914" s="12"/>
      <c r="S4914" s="12"/>
      <c r="X4914" s="12"/>
      <c r="AM4914" s="12"/>
    </row>
    <row r="4915" spans="9:39" x14ac:dyDescent="0.3">
      <c r="I4915" s="12"/>
      <c r="N4915" s="12"/>
      <c r="S4915" s="12"/>
      <c r="X4915" s="12"/>
      <c r="AM4915" s="12"/>
    </row>
    <row r="4916" spans="9:39" x14ac:dyDescent="0.3">
      <c r="I4916" s="12"/>
      <c r="N4916" s="12"/>
      <c r="S4916" s="12"/>
      <c r="X4916" s="12"/>
      <c r="AM4916" s="12"/>
    </row>
    <row r="4917" spans="9:39" x14ac:dyDescent="0.3">
      <c r="I4917" s="12"/>
      <c r="N4917" s="12"/>
      <c r="S4917" s="12"/>
      <c r="X4917" s="12"/>
      <c r="AM4917" s="12"/>
    </row>
    <row r="4918" spans="9:39" x14ac:dyDescent="0.3">
      <c r="I4918" s="12"/>
      <c r="N4918" s="12"/>
      <c r="S4918" s="12"/>
      <c r="X4918" s="12"/>
      <c r="AM4918" s="12"/>
    </row>
    <row r="4919" spans="9:39" x14ac:dyDescent="0.3">
      <c r="I4919" s="12"/>
      <c r="N4919" s="12"/>
      <c r="S4919" s="12"/>
      <c r="X4919" s="12"/>
      <c r="AM4919" s="12"/>
    </row>
    <row r="4920" spans="9:39" x14ac:dyDescent="0.3">
      <c r="I4920" s="12"/>
      <c r="N4920" s="12"/>
      <c r="S4920" s="12"/>
      <c r="X4920" s="12"/>
      <c r="AM4920" s="12"/>
    </row>
    <row r="4921" spans="9:39" x14ac:dyDescent="0.3">
      <c r="I4921" s="12"/>
      <c r="N4921" s="12"/>
      <c r="S4921" s="12"/>
      <c r="X4921" s="12"/>
      <c r="AM4921" s="12"/>
    </row>
    <row r="4922" spans="9:39" x14ac:dyDescent="0.3">
      <c r="I4922" s="12"/>
      <c r="N4922" s="12"/>
      <c r="S4922" s="12"/>
      <c r="X4922" s="12"/>
      <c r="AM4922" s="12"/>
    </row>
    <row r="4923" spans="9:39" x14ac:dyDescent="0.3">
      <c r="I4923" s="12"/>
      <c r="N4923" s="12"/>
      <c r="S4923" s="12"/>
      <c r="X4923" s="12"/>
      <c r="AM4923" s="12"/>
    </row>
    <row r="4924" spans="9:39" x14ac:dyDescent="0.3">
      <c r="I4924" s="12"/>
      <c r="N4924" s="12"/>
      <c r="S4924" s="12"/>
      <c r="X4924" s="12"/>
      <c r="AM4924" s="12"/>
    </row>
    <row r="4925" spans="9:39" x14ac:dyDescent="0.3">
      <c r="I4925" s="12"/>
      <c r="N4925" s="12"/>
      <c r="S4925" s="12"/>
      <c r="X4925" s="12"/>
      <c r="AM4925" s="12"/>
    </row>
    <row r="4926" spans="9:39" x14ac:dyDescent="0.3">
      <c r="I4926" s="12"/>
      <c r="N4926" s="12"/>
      <c r="S4926" s="12"/>
      <c r="X4926" s="12"/>
      <c r="AM4926" s="12"/>
    </row>
    <row r="4927" spans="9:39" x14ac:dyDescent="0.3">
      <c r="I4927" s="12"/>
      <c r="N4927" s="12"/>
      <c r="S4927" s="12"/>
      <c r="X4927" s="12"/>
      <c r="AM4927" s="12"/>
    </row>
    <row r="4928" spans="9:39" x14ac:dyDescent="0.3">
      <c r="I4928" s="12"/>
      <c r="N4928" s="12"/>
      <c r="S4928" s="12"/>
      <c r="X4928" s="12"/>
      <c r="AM4928" s="12"/>
    </row>
    <row r="4929" spans="9:39" x14ac:dyDescent="0.3">
      <c r="I4929" s="12"/>
      <c r="N4929" s="12"/>
      <c r="S4929" s="12"/>
      <c r="X4929" s="12"/>
      <c r="AM4929" s="12"/>
    </row>
    <row r="4930" spans="9:39" x14ac:dyDescent="0.3">
      <c r="I4930" s="12"/>
      <c r="N4930" s="12"/>
      <c r="S4930" s="12"/>
      <c r="X4930" s="12"/>
      <c r="AM4930" s="12"/>
    </row>
    <row r="4931" spans="9:39" x14ac:dyDescent="0.3">
      <c r="I4931" s="12"/>
      <c r="N4931" s="12"/>
      <c r="S4931" s="12"/>
      <c r="X4931" s="12"/>
      <c r="AM4931" s="12"/>
    </row>
    <row r="4932" spans="9:39" x14ac:dyDescent="0.3">
      <c r="I4932" s="12"/>
      <c r="N4932" s="12"/>
      <c r="S4932" s="12"/>
      <c r="X4932" s="12"/>
      <c r="AM4932" s="12"/>
    </row>
    <row r="4933" spans="9:39" x14ac:dyDescent="0.3">
      <c r="I4933" s="12"/>
      <c r="N4933" s="12"/>
      <c r="S4933" s="12"/>
      <c r="X4933" s="12"/>
      <c r="AM4933" s="12"/>
    </row>
    <row r="4934" spans="9:39" x14ac:dyDescent="0.3">
      <c r="I4934" s="12"/>
      <c r="N4934" s="12"/>
      <c r="S4934" s="12"/>
      <c r="X4934" s="12"/>
      <c r="AM4934" s="12"/>
    </row>
    <row r="4935" spans="9:39" x14ac:dyDescent="0.3">
      <c r="I4935" s="12"/>
      <c r="N4935" s="12"/>
      <c r="S4935" s="12"/>
      <c r="X4935" s="12"/>
      <c r="AM4935" s="12"/>
    </row>
    <row r="4936" spans="9:39" x14ac:dyDescent="0.3">
      <c r="I4936" s="12"/>
      <c r="N4936" s="12"/>
      <c r="S4936" s="12"/>
      <c r="X4936" s="12"/>
      <c r="AM4936" s="12"/>
    </row>
    <row r="4937" spans="9:39" x14ac:dyDescent="0.3">
      <c r="I4937" s="12"/>
      <c r="N4937" s="12"/>
      <c r="S4937" s="12"/>
      <c r="X4937" s="12"/>
      <c r="AM4937" s="12"/>
    </row>
    <row r="4938" spans="9:39" x14ac:dyDescent="0.3">
      <c r="I4938" s="12"/>
      <c r="N4938" s="12"/>
      <c r="S4938" s="12"/>
      <c r="X4938" s="12"/>
      <c r="AM4938" s="12"/>
    </row>
    <row r="4939" spans="9:39" x14ac:dyDescent="0.3">
      <c r="I4939" s="12"/>
      <c r="N4939" s="12"/>
      <c r="S4939" s="12"/>
      <c r="X4939" s="12"/>
      <c r="AM4939" s="12"/>
    </row>
    <row r="4940" spans="9:39" x14ac:dyDescent="0.3">
      <c r="I4940" s="12"/>
      <c r="N4940" s="12"/>
      <c r="S4940" s="12"/>
      <c r="X4940" s="12"/>
      <c r="AM4940" s="12"/>
    </row>
    <row r="4941" spans="9:39" x14ac:dyDescent="0.3">
      <c r="I4941" s="12"/>
      <c r="N4941" s="12"/>
      <c r="S4941" s="12"/>
      <c r="X4941" s="12"/>
      <c r="AM4941" s="12"/>
    </row>
    <row r="4942" spans="9:39" x14ac:dyDescent="0.3">
      <c r="I4942" s="12"/>
      <c r="N4942" s="12"/>
      <c r="S4942" s="12"/>
      <c r="X4942" s="12"/>
      <c r="AM4942" s="12"/>
    </row>
    <row r="4943" spans="9:39" x14ac:dyDescent="0.3">
      <c r="I4943" s="12"/>
      <c r="N4943" s="12"/>
      <c r="S4943" s="12"/>
      <c r="X4943" s="12"/>
      <c r="AM4943" s="12"/>
    </row>
    <row r="4944" spans="9:39" x14ac:dyDescent="0.3">
      <c r="I4944" s="12"/>
      <c r="N4944" s="12"/>
      <c r="S4944" s="12"/>
      <c r="X4944" s="12"/>
      <c r="AM4944" s="12"/>
    </row>
    <row r="4945" spans="9:39" x14ac:dyDescent="0.3">
      <c r="I4945" s="12"/>
      <c r="N4945" s="12"/>
      <c r="S4945" s="12"/>
      <c r="X4945" s="12"/>
      <c r="AM4945" s="12"/>
    </row>
    <row r="4946" spans="9:39" x14ac:dyDescent="0.3">
      <c r="I4946" s="12"/>
      <c r="N4946" s="12"/>
      <c r="S4946" s="12"/>
      <c r="X4946" s="12"/>
      <c r="AM4946" s="12"/>
    </row>
    <row r="4947" spans="9:39" x14ac:dyDescent="0.3">
      <c r="I4947" s="12"/>
      <c r="N4947" s="12"/>
      <c r="S4947" s="12"/>
      <c r="X4947" s="12"/>
      <c r="AM4947" s="12"/>
    </row>
    <row r="4948" spans="9:39" x14ac:dyDescent="0.3">
      <c r="I4948" s="12"/>
      <c r="N4948" s="12"/>
      <c r="S4948" s="12"/>
      <c r="X4948" s="12"/>
      <c r="AM4948" s="12"/>
    </row>
    <row r="4949" spans="9:39" x14ac:dyDescent="0.3">
      <c r="I4949" s="12"/>
      <c r="N4949" s="12"/>
      <c r="S4949" s="12"/>
      <c r="X4949" s="12"/>
      <c r="AM4949" s="12"/>
    </row>
    <row r="4950" spans="9:39" x14ac:dyDescent="0.3">
      <c r="I4950" s="12"/>
      <c r="N4950" s="12"/>
      <c r="S4950" s="12"/>
      <c r="X4950" s="12"/>
      <c r="AM4950" s="12"/>
    </row>
    <row r="4951" spans="9:39" x14ac:dyDescent="0.3">
      <c r="I4951" s="12"/>
      <c r="N4951" s="12"/>
      <c r="S4951" s="12"/>
      <c r="X4951" s="12"/>
      <c r="AM4951" s="12"/>
    </row>
    <row r="4952" spans="9:39" x14ac:dyDescent="0.3">
      <c r="I4952" s="12"/>
      <c r="N4952" s="12"/>
      <c r="S4952" s="12"/>
      <c r="X4952" s="12"/>
      <c r="AM4952" s="12"/>
    </row>
    <row r="4953" spans="9:39" x14ac:dyDescent="0.3">
      <c r="I4953" s="12"/>
      <c r="N4953" s="12"/>
      <c r="S4953" s="12"/>
      <c r="X4953" s="12"/>
      <c r="AM4953" s="12"/>
    </row>
    <row r="4954" spans="9:39" x14ac:dyDescent="0.3">
      <c r="I4954" s="12"/>
      <c r="N4954" s="12"/>
      <c r="S4954" s="12"/>
      <c r="X4954" s="12"/>
      <c r="AM4954" s="12"/>
    </row>
    <row r="4955" spans="9:39" x14ac:dyDescent="0.3">
      <c r="I4955" s="12"/>
      <c r="N4955" s="12"/>
      <c r="S4955" s="12"/>
      <c r="X4955" s="12"/>
      <c r="AM4955" s="12"/>
    </row>
    <row r="4956" spans="9:39" x14ac:dyDescent="0.3">
      <c r="I4956" s="12"/>
      <c r="N4956" s="12"/>
      <c r="S4956" s="12"/>
      <c r="X4956" s="12"/>
      <c r="AM4956" s="12"/>
    </row>
    <row r="4957" spans="9:39" x14ac:dyDescent="0.3">
      <c r="I4957" s="12"/>
      <c r="N4957" s="12"/>
      <c r="S4957" s="12"/>
      <c r="X4957" s="12"/>
      <c r="AM4957" s="12"/>
    </row>
    <row r="4958" spans="9:39" x14ac:dyDescent="0.3">
      <c r="I4958" s="12"/>
      <c r="N4958" s="12"/>
      <c r="S4958" s="12"/>
      <c r="X4958" s="12"/>
      <c r="AM4958" s="12"/>
    </row>
    <row r="4959" spans="9:39" x14ac:dyDescent="0.3">
      <c r="I4959" s="12"/>
      <c r="N4959" s="12"/>
      <c r="S4959" s="12"/>
      <c r="X4959" s="12"/>
      <c r="AM4959" s="12"/>
    </row>
    <row r="4960" spans="9:39" x14ac:dyDescent="0.3">
      <c r="I4960" s="12"/>
      <c r="N4960" s="12"/>
      <c r="S4960" s="12"/>
      <c r="X4960" s="12"/>
      <c r="AM4960" s="12"/>
    </row>
    <row r="4961" spans="9:39" x14ac:dyDescent="0.3">
      <c r="I4961" s="12"/>
      <c r="N4961" s="12"/>
      <c r="S4961" s="12"/>
      <c r="X4961" s="12"/>
      <c r="AM4961" s="12"/>
    </row>
    <row r="4962" spans="9:39" x14ac:dyDescent="0.3">
      <c r="I4962" s="12"/>
      <c r="N4962" s="12"/>
      <c r="S4962" s="12"/>
      <c r="X4962" s="12"/>
      <c r="AM4962" s="12"/>
    </row>
    <row r="4963" spans="9:39" x14ac:dyDescent="0.3">
      <c r="I4963" s="12"/>
      <c r="N4963" s="12"/>
      <c r="S4963" s="12"/>
      <c r="X4963" s="12"/>
      <c r="AM4963" s="12"/>
    </row>
    <row r="4964" spans="9:39" x14ac:dyDescent="0.3">
      <c r="I4964" s="12"/>
      <c r="N4964" s="12"/>
      <c r="S4964" s="12"/>
      <c r="X4964" s="12"/>
      <c r="AM4964" s="12"/>
    </row>
    <row r="4965" spans="9:39" x14ac:dyDescent="0.3">
      <c r="I4965" s="12"/>
      <c r="N4965" s="12"/>
      <c r="S4965" s="12"/>
      <c r="X4965" s="12"/>
      <c r="AM4965" s="12"/>
    </row>
    <row r="4966" spans="9:39" x14ac:dyDescent="0.3">
      <c r="I4966" s="12"/>
      <c r="N4966" s="12"/>
      <c r="S4966" s="12"/>
      <c r="X4966" s="12"/>
      <c r="AM4966" s="12"/>
    </row>
    <row r="4967" spans="9:39" x14ac:dyDescent="0.3">
      <c r="I4967" s="12"/>
      <c r="N4967" s="12"/>
      <c r="S4967" s="12"/>
      <c r="X4967" s="12"/>
      <c r="AM4967" s="12"/>
    </row>
    <row r="4968" spans="9:39" x14ac:dyDescent="0.3">
      <c r="I4968" s="12"/>
      <c r="N4968" s="12"/>
      <c r="S4968" s="12"/>
      <c r="X4968" s="12"/>
      <c r="AM4968" s="12"/>
    </row>
    <row r="4969" spans="9:39" x14ac:dyDescent="0.3">
      <c r="I4969" s="12"/>
      <c r="N4969" s="12"/>
      <c r="S4969" s="12"/>
      <c r="X4969" s="12"/>
      <c r="AM4969" s="12"/>
    </row>
    <row r="4970" spans="9:39" x14ac:dyDescent="0.3">
      <c r="I4970" s="12"/>
      <c r="N4970" s="12"/>
      <c r="S4970" s="12"/>
      <c r="X4970" s="12"/>
      <c r="AM4970" s="12"/>
    </row>
    <row r="4971" spans="9:39" x14ac:dyDescent="0.3">
      <c r="I4971" s="12"/>
      <c r="N4971" s="12"/>
      <c r="S4971" s="12"/>
      <c r="X4971" s="12"/>
      <c r="AM4971" s="12"/>
    </row>
    <row r="4972" spans="9:39" x14ac:dyDescent="0.3">
      <c r="I4972" s="12"/>
      <c r="N4972" s="12"/>
      <c r="S4972" s="12"/>
      <c r="X4972" s="12"/>
      <c r="AM4972" s="12"/>
    </row>
    <row r="4973" spans="9:39" x14ac:dyDescent="0.3">
      <c r="I4973" s="12"/>
      <c r="N4973" s="12"/>
      <c r="S4973" s="12"/>
      <c r="X4973" s="12"/>
      <c r="AM4973" s="12"/>
    </row>
    <row r="4974" spans="9:39" x14ac:dyDescent="0.3">
      <c r="I4974" s="12"/>
      <c r="N4974" s="12"/>
      <c r="S4974" s="12"/>
      <c r="X4974" s="12"/>
      <c r="AM4974" s="12"/>
    </row>
    <row r="4975" spans="9:39" x14ac:dyDescent="0.3">
      <c r="I4975" s="12"/>
      <c r="N4975" s="12"/>
      <c r="S4975" s="12"/>
      <c r="X4975" s="12"/>
      <c r="AM4975" s="12"/>
    </row>
    <row r="4976" spans="9:39" x14ac:dyDescent="0.3">
      <c r="I4976" s="12"/>
      <c r="N4976" s="12"/>
      <c r="S4976" s="12"/>
      <c r="X4976" s="12"/>
      <c r="AM4976" s="12"/>
    </row>
    <row r="4977" spans="9:39" x14ac:dyDescent="0.3">
      <c r="I4977" s="12"/>
      <c r="N4977" s="12"/>
      <c r="S4977" s="12"/>
      <c r="X4977" s="12"/>
      <c r="AM4977" s="12"/>
    </row>
    <row r="4978" spans="9:39" x14ac:dyDescent="0.3">
      <c r="I4978" s="12"/>
      <c r="N4978" s="12"/>
      <c r="S4978" s="12"/>
      <c r="X4978" s="12"/>
      <c r="AM4978" s="12"/>
    </row>
    <row r="4979" spans="9:39" x14ac:dyDescent="0.3">
      <c r="I4979" s="12"/>
      <c r="N4979" s="12"/>
      <c r="S4979" s="12"/>
      <c r="X4979" s="12"/>
      <c r="AM4979" s="12"/>
    </row>
    <row r="4980" spans="9:39" x14ac:dyDescent="0.3">
      <c r="I4980" s="12"/>
      <c r="N4980" s="12"/>
      <c r="S4980" s="12"/>
      <c r="X4980" s="12"/>
      <c r="AM4980" s="12"/>
    </row>
    <row r="4981" spans="9:39" x14ac:dyDescent="0.3">
      <c r="I4981" s="12"/>
      <c r="N4981" s="12"/>
      <c r="S4981" s="12"/>
      <c r="X4981" s="12"/>
      <c r="AM4981" s="12"/>
    </row>
    <row r="4982" spans="9:39" x14ac:dyDescent="0.3">
      <c r="I4982" s="12"/>
      <c r="N4982" s="12"/>
      <c r="S4982" s="12"/>
      <c r="X4982" s="12"/>
      <c r="AM4982" s="12"/>
    </row>
    <row r="4983" spans="9:39" x14ac:dyDescent="0.3">
      <c r="I4983" s="12"/>
      <c r="N4983" s="12"/>
      <c r="S4983" s="12"/>
      <c r="X4983" s="12"/>
      <c r="AM4983" s="12"/>
    </row>
    <row r="4984" spans="9:39" x14ac:dyDescent="0.3">
      <c r="I4984" s="12"/>
      <c r="N4984" s="12"/>
      <c r="S4984" s="12"/>
      <c r="X4984" s="12"/>
      <c r="AM4984" s="12"/>
    </row>
    <row r="4985" spans="9:39" x14ac:dyDescent="0.3">
      <c r="I4985" s="12"/>
      <c r="N4985" s="12"/>
      <c r="S4985" s="12"/>
      <c r="X4985" s="12"/>
      <c r="AM4985" s="12"/>
    </row>
    <row r="4986" spans="9:39" x14ac:dyDescent="0.3">
      <c r="I4986" s="12"/>
      <c r="N4986" s="12"/>
      <c r="S4986" s="12"/>
      <c r="X4986" s="12"/>
      <c r="AM4986" s="12"/>
    </row>
    <row r="4987" spans="9:39" x14ac:dyDescent="0.3">
      <c r="I4987" s="12"/>
      <c r="N4987" s="12"/>
      <c r="S4987" s="12"/>
      <c r="X4987" s="12"/>
      <c r="AM4987" s="12"/>
    </row>
    <row r="4988" spans="9:39" x14ac:dyDescent="0.3">
      <c r="I4988" s="12"/>
      <c r="N4988" s="12"/>
      <c r="S4988" s="12"/>
      <c r="X4988" s="12"/>
      <c r="AM4988" s="12"/>
    </row>
    <row r="4989" spans="9:39" x14ac:dyDescent="0.3">
      <c r="I4989" s="12"/>
      <c r="N4989" s="12"/>
      <c r="S4989" s="12"/>
      <c r="X4989" s="12"/>
      <c r="AM4989" s="12"/>
    </row>
    <row r="4990" spans="9:39" x14ac:dyDescent="0.3">
      <c r="I4990" s="12"/>
      <c r="N4990" s="12"/>
      <c r="S4990" s="12"/>
      <c r="X4990" s="12"/>
      <c r="AM4990" s="12"/>
    </row>
    <row r="4991" spans="9:39" x14ac:dyDescent="0.3">
      <c r="I4991" s="12"/>
      <c r="N4991" s="12"/>
      <c r="S4991" s="12"/>
      <c r="X4991" s="12"/>
      <c r="AM4991" s="12"/>
    </row>
    <row r="4992" spans="9:39" x14ac:dyDescent="0.3">
      <c r="I4992" s="12"/>
      <c r="N4992" s="12"/>
      <c r="S4992" s="12"/>
      <c r="X4992" s="12"/>
      <c r="AM4992" s="12"/>
    </row>
    <row r="4993" spans="9:39" x14ac:dyDescent="0.3">
      <c r="I4993" s="12"/>
      <c r="N4993" s="12"/>
      <c r="S4993" s="12"/>
      <c r="X4993" s="12"/>
      <c r="AM4993" s="12"/>
    </row>
    <row r="4994" spans="9:39" x14ac:dyDescent="0.3">
      <c r="I4994" s="12"/>
      <c r="N4994" s="12"/>
      <c r="S4994" s="12"/>
      <c r="X4994" s="12"/>
      <c r="AM4994" s="12"/>
    </row>
    <row r="4995" spans="9:39" x14ac:dyDescent="0.3">
      <c r="I4995" s="12"/>
      <c r="N4995" s="12"/>
      <c r="S4995" s="12"/>
      <c r="X4995" s="12"/>
      <c r="AM4995" s="12"/>
    </row>
    <row r="4996" spans="9:39" x14ac:dyDescent="0.3">
      <c r="I4996" s="12"/>
      <c r="N4996" s="12"/>
      <c r="S4996" s="12"/>
      <c r="X4996" s="12"/>
      <c r="AM4996" s="12"/>
    </row>
    <row r="4997" spans="9:39" x14ac:dyDescent="0.3">
      <c r="I4997" s="12"/>
      <c r="N4997" s="12"/>
      <c r="S4997" s="12"/>
      <c r="X4997" s="12"/>
      <c r="AM4997" s="12"/>
    </row>
    <row r="4998" spans="9:39" x14ac:dyDescent="0.3">
      <c r="I4998" s="12"/>
      <c r="N4998" s="12"/>
      <c r="S4998" s="12"/>
      <c r="X4998" s="12"/>
      <c r="AM4998" s="12"/>
    </row>
    <row r="4999" spans="9:39" x14ac:dyDescent="0.3">
      <c r="I4999" s="12"/>
      <c r="N4999" s="12"/>
      <c r="S4999" s="12"/>
      <c r="X4999" s="12"/>
      <c r="AM4999" s="12"/>
    </row>
    <row r="5000" spans="9:39" x14ac:dyDescent="0.3">
      <c r="I5000" s="12"/>
      <c r="N5000" s="12"/>
      <c r="S5000" s="12"/>
      <c r="X5000" s="12"/>
      <c r="AM5000" s="12"/>
    </row>
    <row r="5001" spans="9:39" x14ac:dyDescent="0.3">
      <c r="I5001" s="12"/>
      <c r="N5001" s="12"/>
      <c r="S5001" s="12"/>
      <c r="X5001" s="12"/>
      <c r="AM5001" s="12"/>
    </row>
    <row r="5002" spans="9:39" x14ac:dyDescent="0.3">
      <c r="I5002" s="12"/>
      <c r="N5002" s="12"/>
      <c r="S5002" s="12"/>
      <c r="X5002" s="12"/>
      <c r="AM5002" s="12"/>
    </row>
    <row r="5003" spans="9:39" x14ac:dyDescent="0.3">
      <c r="I5003" s="12"/>
      <c r="N5003" s="12"/>
      <c r="S5003" s="12"/>
      <c r="X5003" s="12"/>
      <c r="AM5003" s="12"/>
    </row>
    <row r="5004" spans="9:39" x14ac:dyDescent="0.3">
      <c r="I5004" s="12"/>
      <c r="N5004" s="12"/>
      <c r="S5004" s="12"/>
      <c r="X5004" s="12"/>
      <c r="AM5004" s="12"/>
    </row>
    <row r="5005" spans="9:39" x14ac:dyDescent="0.3">
      <c r="I5005" s="12"/>
      <c r="N5005" s="12"/>
      <c r="S5005" s="12"/>
      <c r="X5005" s="12"/>
      <c r="AM5005" s="12"/>
    </row>
    <row r="5006" spans="9:39" x14ac:dyDescent="0.3">
      <c r="I5006" s="12"/>
      <c r="N5006" s="12"/>
      <c r="S5006" s="12"/>
      <c r="X5006" s="12"/>
      <c r="AM5006" s="12"/>
    </row>
    <row r="5007" spans="9:39" x14ac:dyDescent="0.3">
      <c r="I5007" s="12"/>
      <c r="N5007" s="12"/>
      <c r="S5007" s="12"/>
      <c r="X5007" s="12"/>
      <c r="AM5007" s="12"/>
    </row>
    <row r="5008" spans="9:39" x14ac:dyDescent="0.3">
      <c r="I5008" s="12"/>
      <c r="N5008" s="12"/>
      <c r="S5008" s="12"/>
      <c r="X5008" s="12"/>
      <c r="AM5008" s="12"/>
    </row>
    <row r="5009" spans="9:39" x14ac:dyDescent="0.3">
      <c r="I5009" s="12"/>
      <c r="N5009" s="12"/>
      <c r="S5009" s="12"/>
      <c r="X5009" s="12"/>
      <c r="AM5009" s="12"/>
    </row>
    <row r="5010" spans="9:39" x14ac:dyDescent="0.3">
      <c r="I5010" s="12"/>
      <c r="N5010" s="12"/>
      <c r="S5010" s="12"/>
      <c r="X5010" s="12"/>
      <c r="AM5010" s="12"/>
    </row>
    <row r="5011" spans="9:39" x14ac:dyDescent="0.3">
      <c r="I5011" s="12"/>
      <c r="N5011" s="12"/>
      <c r="S5011" s="12"/>
      <c r="X5011" s="12"/>
      <c r="AM5011" s="12"/>
    </row>
    <row r="5012" spans="9:39" x14ac:dyDescent="0.3">
      <c r="I5012" s="12"/>
      <c r="N5012" s="12"/>
      <c r="S5012" s="12"/>
      <c r="X5012" s="12"/>
      <c r="AM5012" s="12"/>
    </row>
    <row r="5013" spans="9:39" x14ac:dyDescent="0.3">
      <c r="I5013" s="12"/>
      <c r="N5013" s="12"/>
      <c r="S5013" s="12"/>
      <c r="X5013" s="12"/>
      <c r="AM5013" s="12"/>
    </row>
    <row r="5014" spans="9:39" x14ac:dyDescent="0.3">
      <c r="I5014" s="12"/>
      <c r="N5014" s="12"/>
      <c r="S5014" s="12"/>
      <c r="X5014" s="12"/>
      <c r="AM5014" s="12"/>
    </row>
    <row r="5015" spans="9:39" x14ac:dyDescent="0.3">
      <c r="I5015" s="12"/>
      <c r="N5015" s="12"/>
      <c r="S5015" s="12"/>
      <c r="X5015" s="12"/>
      <c r="AM5015" s="12"/>
    </row>
    <row r="5016" spans="9:39" x14ac:dyDescent="0.3">
      <c r="I5016" s="12"/>
      <c r="N5016" s="12"/>
      <c r="S5016" s="12"/>
      <c r="X5016" s="12"/>
      <c r="AM5016" s="12"/>
    </row>
    <row r="5017" spans="9:39" x14ac:dyDescent="0.3">
      <c r="I5017" s="12"/>
      <c r="N5017" s="12"/>
      <c r="S5017" s="12"/>
      <c r="X5017" s="12"/>
      <c r="AM5017" s="12"/>
    </row>
    <row r="5018" spans="9:39" x14ac:dyDescent="0.3">
      <c r="I5018" s="12"/>
      <c r="N5018" s="12"/>
      <c r="S5018" s="12"/>
      <c r="X5018" s="12"/>
      <c r="AM5018" s="12"/>
    </row>
    <row r="5019" spans="9:39" x14ac:dyDescent="0.3">
      <c r="I5019" s="12"/>
      <c r="N5019" s="12"/>
      <c r="S5019" s="12"/>
      <c r="X5019" s="12"/>
      <c r="AM5019" s="12"/>
    </row>
    <row r="5020" spans="9:39" x14ac:dyDescent="0.3">
      <c r="I5020" s="12"/>
      <c r="N5020" s="12"/>
      <c r="S5020" s="12"/>
      <c r="X5020" s="12"/>
      <c r="AM5020" s="12"/>
    </row>
    <row r="5021" spans="9:39" x14ac:dyDescent="0.3">
      <c r="I5021" s="12"/>
      <c r="N5021" s="12"/>
      <c r="S5021" s="12"/>
      <c r="X5021" s="12"/>
      <c r="AM5021" s="12"/>
    </row>
    <row r="5022" spans="9:39" x14ac:dyDescent="0.3">
      <c r="I5022" s="12"/>
      <c r="N5022" s="12"/>
      <c r="S5022" s="12"/>
      <c r="X5022" s="12"/>
      <c r="AM5022" s="12"/>
    </row>
    <row r="5023" spans="9:39" x14ac:dyDescent="0.3">
      <c r="I5023" s="12"/>
      <c r="N5023" s="12"/>
      <c r="S5023" s="12"/>
      <c r="X5023" s="12"/>
      <c r="AM5023" s="12"/>
    </row>
    <row r="5024" spans="9:39" x14ac:dyDescent="0.3">
      <c r="I5024" s="12"/>
      <c r="N5024" s="12"/>
      <c r="S5024" s="12"/>
      <c r="X5024" s="12"/>
      <c r="AM5024" s="12"/>
    </row>
    <row r="5025" spans="9:39" x14ac:dyDescent="0.3">
      <c r="I5025" s="12"/>
      <c r="N5025" s="12"/>
      <c r="S5025" s="12"/>
      <c r="X5025" s="12"/>
      <c r="AM5025" s="12"/>
    </row>
    <row r="5026" spans="9:39" x14ac:dyDescent="0.3">
      <c r="I5026" s="12"/>
      <c r="N5026" s="12"/>
      <c r="S5026" s="12"/>
      <c r="X5026" s="12"/>
      <c r="AM5026" s="12"/>
    </row>
    <row r="5027" spans="9:39" x14ac:dyDescent="0.3">
      <c r="I5027" s="12"/>
      <c r="N5027" s="12"/>
      <c r="S5027" s="12"/>
      <c r="X5027" s="12"/>
      <c r="AM5027" s="12"/>
    </row>
    <row r="5028" spans="9:39" x14ac:dyDescent="0.3">
      <c r="I5028" s="12"/>
      <c r="N5028" s="12"/>
      <c r="S5028" s="12"/>
      <c r="X5028" s="12"/>
      <c r="AM5028" s="12"/>
    </row>
    <row r="5029" spans="9:39" x14ac:dyDescent="0.3">
      <c r="I5029" s="12"/>
      <c r="N5029" s="12"/>
      <c r="S5029" s="12"/>
      <c r="X5029" s="12"/>
      <c r="AM5029" s="12"/>
    </row>
    <row r="5030" spans="9:39" x14ac:dyDescent="0.3">
      <c r="I5030" s="12"/>
      <c r="N5030" s="12"/>
      <c r="S5030" s="12"/>
      <c r="X5030" s="12"/>
      <c r="AM5030" s="12"/>
    </row>
    <row r="5031" spans="9:39" x14ac:dyDescent="0.3">
      <c r="I5031" s="12"/>
      <c r="N5031" s="12"/>
      <c r="S5031" s="12"/>
      <c r="X5031" s="12"/>
      <c r="AM5031" s="12"/>
    </row>
    <row r="5032" spans="9:39" x14ac:dyDescent="0.3">
      <c r="I5032" s="12"/>
      <c r="N5032" s="12"/>
      <c r="S5032" s="12"/>
      <c r="X5032" s="12"/>
      <c r="AM5032" s="12"/>
    </row>
    <row r="5033" spans="9:39" x14ac:dyDescent="0.3">
      <c r="I5033" s="12"/>
      <c r="N5033" s="12"/>
      <c r="S5033" s="12"/>
      <c r="X5033" s="12"/>
      <c r="AM5033" s="12"/>
    </row>
    <row r="5034" spans="9:39" x14ac:dyDescent="0.3">
      <c r="I5034" s="12"/>
      <c r="N5034" s="12"/>
      <c r="S5034" s="12"/>
      <c r="X5034" s="12"/>
      <c r="AM5034" s="12"/>
    </row>
    <row r="5035" spans="9:39" x14ac:dyDescent="0.3">
      <c r="I5035" s="12"/>
      <c r="N5035" s="12"/>
      <c r="S5035" s="12"/>
      <c r="X5035" s="12"/>
      <c r="AM5035" s="12"/>
    </row>
    <row r="5036" spans="9:39" x14ac:dyDescent="0.3">
      <c r="I5036" s="12"/>
      <c r="N5036" s="12"/>
      <c r="S5036" s="12"/>
      <c r="X5036" s="12"/>
      <c r="AM5036" s="12"/>
    </row>
    <row r="5037" spans="9:39" x14ac:dyDescent="0.3">
      <c r="I5037" s="12"/>
      <c r="N5037" s="12"/>
      <c r="S5037" s="12"/>
      <c r="X5037" s="12"/>
      <c r="AM5037" s="12"/>
    </row>
    <row r="5038" spans="9:39" x14ac:dyDescent="0.3">
      <c r="I5038" s="12"/>
      <c r="N5038" s="12"/>
      <c r="S5038" s="12"/>
      <c r="X5038" s="12"/>
      <c r="AM5038" s="12"/>
    </row>
    <row r="5039" spans="9:39" x14ac:dyDescent="0.3">
      <c r="I5039" s="12"/>
      <c r="N5039" s="12"/>
      <c r="S5039" s="12"/>
      <c r="X5039" s="12"/>
      <c r="AM5039" s="12"/>
    </row>
    <row r="5040" spans="9:39" x14ac:dyDescent="0.3">
      <c r="I5040" s="12"/>
      <c r="N5040" s="12"/>
      <c r="S5040" s="12"/>
      <c r="X5040" s="12"/>
      <c r="AM5040" s="12"/>
    </row>
    <row r="5041" spans="9:39" x14ac:dyDescent="0.3">
      <c r="I5041" s="12"/>
      <c r="N5041" s="12"/>
      <c r="S5041" s="12"/>
      <c r="X5041" s="12"/>
      <c r="AM5041" s="12"/>
    </row>
    <row r="5042" spans="9:39" x14ac:dyDescent="0.3">
      <c r="I5042" s="12"/>
      <c r="N5042" s="12"/>
      <c r="S5042" s="12"/>
      <c r="X5042" s="12"/>
      <c r="AM5042" s="12"/>
    </row>
    <row r="5043" spans="9:39" x14ac:dyDescent="0.3">
      <c r="I5043" s="12"/>
      <c r="N5043" s="12"/>
      <c r="S5043" s="12"/>
      <c r="X5043" s="12"/>
      <c r="AM5043" s="12"/>
    </row>
    <row r="5044" spans="9:39" x14ac:dyDescent="0.3">
      <c r="I5044" s="12"/>
      <c r="N5044" s="12"/>
      <c r="S5044" s="12"/>
      <c r="X5044" s="12"/>
      <c r="AM5044" s="12"/>
    </row>
    <row r="5045" spans="9:39" x14ac:dyDescent="0.3">
      <c r="I5045" s="12"/>
      <c r="N5045" s="12"/>
      <c r="S5045" s="12"/>
      <c r="X5045" s="12"/>
      <c r="AM5045" s="12"/>
    </row>
    <row r="5046" spans="9:39" x14ac:dyDescent="0.3">
      <c r="I5046" s="12"/>
      <c r="N5046" s="12"/>
      <c r="S5046" s="12"/>
      <c r="X5046" s="12"/>
      <c r="AM5046" s="12"/>
    </row>
    <row r="5047" spans="9:39" x14ac:dyDescent="0.3">
      <c r="I5047" s="12"/>
      <c r="N5047" s="12"/>
      <c r="S5047" s="12"/>
      <c r="X5047" s="12"/>
      <c r="AM5047" s="12"/>
    </row>
    <row r="5048" spans="9:39" x14ac:dyDescent="0.3">
      <c r="I5048" s="12"/>
      <c r="N5048" s="12"/>
      <c r="S5048" s="12"/>
      <c r="X5048" s="12"/>
      <c r="AM5048" s="12"/>
    </row>
    <row r="5049" spans="9:39" x14ac:dyDescent="0.3">
      <c r="I5049" s="12"/>
      <c r="N5049" s="12"/>
      <c r="S5049" s="12"/>
      <c r="X5049" s="12"/>
      <c r="AM5049" s="12"/>
    </row>
    <row r="5050" spans="9:39" x14ac:dyDescent="0.3">
      <c r="I5050" s="12"/>
      <c r="N5050" s="12"/>
      <c r="S5050" s="12"/>
      <c r="X5050" s="12"/>
      <c r="AM5050" s="12"/>
    </row>
    <row r="5051" spans="9:39" x14ac:dyDescent="0.3">
      <c r="I5051" s="12"/>
      <c r="N5051" s="12"/>
      <c r="S5051" s="12"/>
      <c r="X5051" s="12"/>
      <c r="AM5051" s="12"/>
    </row>
    <row r="5052" spans="9:39" x14ac:dyDescent="0.3">
      <c r="I5052" s="12"/>
      <c r="N5052" s="12"/>
      <c r="S5052" s="12"/>
      <c r="X5052" s="12"/>
      <c r="AM5052" s="12"/>
    </row>
    <row r="5053" spans="9:39" x14ac:dyDescent="0.3">
      <c r="I5053" s="12"/>
      <c r="N5053" s="12"/>
      <c r="S5053" s="12"/>
      <c r="X5053" s="12"/>
      <c r="AM5053" s="12"/>
    </row>
    <row r="5054" spans="9:39" x14ac:dyDescent="0.3">
      <c r="I5054" s="12"/>
      <c r="N5054" s="12"/>
      <c r="S5054" s="12"/>
      <c r="X5054" s="12"/>
      <c r="AM5054" s="12"/>
    </row>
    <row r="5055" spans="9:39" x14ac:dyDescent="0.3">
      <c r="I5055" s="12"/>
      <c r="N5055" s="12"/>
      <c r="S5055" s="12"/>
      <c r="X5055" s="12"/>
      <c r="AM5055" s="12"/>
    </row>
    <row r="5056" spans="9:39" x14ac:dyDescent="0.3">
      <c r="I5056" s="12"/>
      <c r="N5056" s="12"/>
      <c r="S5056" s="12"/>
      <c r="X5056" s="12"/>
      <c r="AM5056" s="12"/>
    </row>
    <row r="5057" spans="9:39" x14ac:dyDescent="0.3">
      <c r="I5057" s="12"/>
      <c r="N5057" s="12"/>
      <c r="S5057" s="12"/>
      <c r="X5057" s="12"/>
      <c r="AM5057" s="12"/>
    </row>
    <row r="5058" spans="9:39" x14ac:dyDescent="0.3">
      <c r="I5058" s="12"/>
      <c r="N5058" s="12"/>
      <c r="S5058" s="12"/>
      <c r="X5058" s="12"/>
      <c r="AM5058" s="12"/>
    </row>
    <row r="5059" spans="9:39" x14ac:dyDescent="0.3">
      <c r="I5059" s="12"/>
      <c r="N5059" s="12"/>
      <c r="S5059" s="12"/>
      <c r="X5059" s="12"/>
      <c r="AM5059" s="12"/>
    </row>
    <row r="5060" spans="9:39" x14ac:dyDescent="0.3">
      <c r="I5060" s="12"/>
      <c r="N5060" s="12"/>
      <c r="S5060" s="12"/>
      <c r="X5060" s="12"/>
      <c r="AM5060" s="12"/>
    </row>
    <row r="5061" spans="9:39" x14ac:dyDescent="0.3">
      <c r="I5061" s="12"/>
      <c r="N5061" s="12"/>
      <c r="S5061" s="12"/>
      <c r="X5061" s="12"/>
      <c r="AM5061" s="12"/>
    </row>
    <row r="5062" spans="9:39" x14ac:dyDescent="0.3">
      <c r="I5062" s="12"/>
      <c r="N5062" s="12"/>
      <c r="S5062" s="12"/>
      <c r="X5062" s="12"/>
      <c r="AM5062" s="12"/>
    </row>
    <row r="5063" spans="9:39" x14ac:dyDescent="0.3">
      <c r="I5063" s="12"/>
      <c r="N5063" s="12"/>
      <c r="S5063" s="12"/>
      <c r="X5063" s="12"/>
      <c r="AM5063" s="12"/>
    </row>
    <row r="5064" spans="9:39" x14ac:dyDescent="0.3">
      <c r="I5064" s="12"/>
      <c r="N5064" s="12"/>
      <c r="S5064" s="12"/>
      <c r="X5064" s="12"/>
      <c r="AM5064" s="12"/>
    </row>
    <row r="5065" spans="9:39" x14ac:dyDescent="0.3">
      <c r="I5065" s="12"/>
      <c r="N5065" s="12"/>
      <c r="S5065" s="12"/>
      <c r="X5065" s="12"/>
      <c r="AM5065" s="12"/>
    </row>
    <row r="5066" spans="9:39" x14ac:dyDescent="0.3">
      <c r="I5066" s="12"/>
      <c r="N5066" s="12"/>
      <c r="S5066" s="12"/>
      <c r="X5066" s="12"/>
      <c r="AM5066" s="12"/>
    </row>
    <row r="5067" spans="9:39" x14ac:dyDescent="0.3">
      <c r="I5067" s="12"/>
      <c r="N5067" s="12"/>
      <c r="S5067" s="12"/>
      <c r="X5067" s="12"/>
      <c r="AM5067" s="12"/>
    </row>
    <row r="5068" spans="9:39" x14ac:dyDescent="0.3">
      <c r="I5068" s="12"/>
      <c r="N5068" s="12"/>
      <c r="S5068" s="12"/>
      <c r="X5068" s="12"/>
      <c r="AM5068" s="12"/>
    </row>
    <row r="5069" spans="9:39" x14ac:dyDescent="0.3">
      <c r="I5069" s="12"/>
      <c r="N5069" s="12"/>
      <c r="S5069" s="12"/>
      <c r="X5069" s="12"/>
      <c r="AM5069" s="12"/>
    </row>
    <row r="5070" spans="9:39" x14ac:dyDescent="0.3">
      <c r="I5070" s="12"/>
      <c r="N5070" s="12"/>
      <c r="S5070" s="12"/>
      <c r="X5070" s="12"/>
      <c r="AM5070" s="12"/>
    </row>
    <row r="5071" spans="9:39" x14ac:dyDescent="0.3">
      <c r="I5071" s="12"/>
      <c r="N5071" s="12"/>
      <c r="S5071" s="12"/>
      <c r="X5071" s="12"/>
      <c r="AM5071" s="12"/>
    </row>
    <row r="5072" spans="9:39" x14ac:dyDescent="0.3">
      <c r="I5072" s="12"/>
      <c r="N5072" s="12"/>
      <c r="S5072" s="12"/>
      <c r="X5072" s="12"/>
      <c r="AM5072" s="12"/>
    </row>
    <row r="5073" spans="9:39" x14ac:dyDescent="0.3">
      <c r="I5073" s="12"/>
      <c r="N5073" s="12"/>
      <c r="S5073" s="12"/>
      <c r="X5073" s="12"/>
      <c r="AM5073" s="12"/>
    </row>
    <row r="5074" spans="9:39" x14ac:dyDescent="0.3">
      <c r="I5074" s="12"/>
      <c r="N5074" s="12"/>
      <c r="S5074" s="12"/>
      <c r="X5074" s="12"/>
      <c r="AM5074" s="12"/>
    </row>
    <row r="5075" spans="9:39" x14ac:dyDescent="0.3">
      <c r="I5075" s="12"/>
      <c r="N5075" s="12"/>
      <c r="S5075" s="12"/>
      <c r="X5075" s="12"/>
      <c r="AM5075" s="12"/>
    </row>
    <row r="5076" spans="9:39" x14ac:dyDescent="0.3">
      <c r="I5076" s="12"/>
      <c r="N5076" s="12"/>
      <c r="S5076" s="12"/>
      <c r="X5076" s="12"/>
      <c r="AM5076" s="12"/>
    </row>
    <row r="5077" spans="9:39" x14ac:dyDescent="0.3">
      <c r="I5077" s="12"/>
      <c r="N5077" s="12"/>
      <c r="S5077" s="12"/>
      <c r="X5077" s="12"/>
      <c r="AM5077" s="12"/>
    </row>
    <row r="5078" spans="9:39" x14ac:dyDescent="0.3">
      <c r="I5078" s="12"/>
      <c r="N5078" s="12"/>
      <c r="S5078" s="12"/>
      <c r="X5078" s="12"/>
      <c r="AM5078" s="12"/>
    </row>
    <row r="5079" spans="9:39" x14ac:dyDescent="0.3">
      <c r="I5079" s="12"/>
      <c r="N5079" s="12"/>
      <c r="S5079" s="12"/>
      <c r="X5079" s="12"/>
      <c r="AM5079" s="12"/>
    </row>
    <row r="5080" spans="9:39" x14ac:dyDescent="0.3">
      <c r="I5080" s="12"/>
      <c r="N5080" s="12"/>
      <c r="S5080" s="12"/>
      <c r="X5080" s="12"/>
      <c r="AM5080" s="12"/>
    </row>
    <row r="5081" spans="9:39" x14ac:dyDescent="0.3">
      <c r="I5081" s="12"/>
      <c r="N5081" s="12"/>
      <c r="S5081" s="12"/>
      <c r="X5081" s="12"/>
      <c r="AM5081" s="12"/>
    </row>
    <row r="5082" spans="9:39" x14ac:dyDescent="0.3">
      <c r="I5082" s="12"/>
      <c r="N5082" s="12"/>
      <c r="S5082" s="12"/>
      <c r="X5082" s="12"/>
      <c r="AM5082" s="12"/>
    </row>
    <row r="5083" spans="9:39" x14ac:dyDescent="0.3">
      <c r="I5083" s="12"/>
      <c r="N5083" s="12"/>
      <c r="S5083" s="12"/>
      <c r="X5083" s="12"/>
      <c r="AM5083" s="12"/>
    </row>
    <row r="5084" spans="9:39" x14ac:dyDescent="0.3">
      <c r="I5084" s="12"/>
      <c r="N5084" s="12"/>
      <c r="S5084" s="12"/>
      <c r="X5084" s="12"/>
      <c r="AM5084" s="12"/>
    </row>
    <row r="5085" spans="9:39" x14ac:dyDescent="0.3">
      <c r="I5085" s="12"/>
      <c r="N5085" s="12"/>
      <c r="S5085" s="12"/>
      <c r="X5085" s="12"/>
      <c r="AM5085" s="12"/>
    </row>
    <row r="5086" spans="9:39" x14ac:dyDescent="0.3">
      <c r="I5086" s="12"/>
      <c r="N5086" s="12"/>
      <c r="S5086" s="12"/>
      <c r="X5086" s="12"/>
      <c r="AM5086" s="12"/>
    </row>
    <row r="5087" spans="9:39" x14ac:dyDescent="0.3">
      <c r="I5087" s="12"/>
      <c r="N5087" s="12"/>
      <c r="S5087" s="12"/>
      <c r="X5087" s="12"/>
      <c r="AM5087" s="12"/>
    </row>
    <row r="5088" spans="9:39" x14ac:dyDescent="0.3">
      <c r="I5088" s="12"/>
      <c r="N5088" s="12"/>
      <c r="S5088" s="12"/>
      <c r="X5088" s="12"/>
      <c r="AM5088" s="12"/>
    </row>
    <row r="5089" spans="9:39" x14ac:dyDescent="0.3">
      <c r="I5089" s="12"/>
      <c r="N5089" s="12"/>
      <c r="S5089" s="12"/>
      <c r="X5089" s="12"/>
      <c r="AM5089" s="12"/>
    </row>
    <row r="5090" spans="9:39" x14ac:dyDescent="0.3">
      <c r="I5090" s="12"/>
      <c r="N5090" s="12"/>
      <c r="S5090" s="12"/>
      <c r="X5090" s="12"/>
      <c r="AM5090" s="12"/>
    </row>
    <row r="5091" spans="9:39" x14ac:dyDescent="0.3">
      <c r="I5091" s="12"/>
      <c r="N5091" s="12"/>
      <c r="S5091" s="12"/>
      <c r="X5091" s="12"/>
      <c r="AM5091" s="12"/>
    </row>
    <row r="5092" spans="9:39" x14ac:dyDescent="0.3">
      <c r="I5092" s="12"/>
      <c r="N5092" s="12"/>
      <c r="S5092" s="12"/>
      <c r="X5092" s="12"/>
      <c r="AM5092" s="12"/>
    </row>
    <row r="5093" spans="9:39" x14ac:dyDescent="0.3">
      <c r="I5093" s="12"/>
      <c r="N5093" s="12"/>
      <c r="S5093" s="12"/>
      <c r="X5093" s="12"/>
      <c r="AM5093" s="12"/>
    </row>
    <row r="5094" spans="9:39" x14ac:dyDescent="0.3">
      <c r="I5094" s="12"/>
      <c r="N5094" s="12"/>
      <c r="S5094" s="12"/>
      <c r="X5094" s="12"/>
      <c r="AM5094" s="12"/>
    </row>
    <row r="5095" spans="9:39" x14ac:dyDescent="0.3">
      <c r="I5095" s="12"/>
      <c r="N5095" s="12"/>
      <c r="S5095" s="12"/>
      <c r="X5095" s="12"/>
      <c r="AM5095" s="12"/>
    </row>
    <row r="5096" spans="9:39" x14ac:dyDescent="0.3">
      <c r="I5096" s="12"/>
      <c r="N5096" s="12"/>
      <c r="S5096" s="12"/>
      <c r="X5096" s="12"/>
      <c r="AM5096" s="12"/>
    </row>
    <row r="5097" spans="9:39" x14ac:dyDescent="0.3">
      <c r="I5097" s="12"/>
      <c r="N5097" s="12"/>
      <c r="S5097" s="12"/>
      <c r="X5097" s="12"/>
      <c r="AM5097" s="12"/>
    </row>
    <row r="5098" spans="9:39" x14ac:dyDescent="0.3">
      <c r="I5098" s="12"/>
      <c r="N5098" s="12"/>
      <c r="S5098" s="12"/>
      <c r="X5098" s="12"/>
      <c r="AM5098" s="12"/>
    </row>
    <row r="5099" spans="9:39" x14ac:dyDescent="0.3">
      <c r="I5099" s="12"/>
      <c r="N5099" s="12"/>
      <c r="S5099" s="12"/>
      <c r="X5099" s="12"/>
      <c r="AM5099" s="12"/>
    </row>
    <row r="5100" spans="9:39" x14ac:dyDescent="0.3">
      <c r="I5100" s="12"/>
      <c r="N5100" s="12"/>
      <c r="S5100" s="12"/>
      <c r="X5100" s="12"/>
      <c r="AM5100" s="12"/>
    </row>
    <row r="5101" spans="9:39" x14ac:dyDescent="0.3">
      <c r="I5101" s="12"/>
      <c r="N5101" s="12"/>
      <c r="S5101" s="12"/>
      <c r="X5101" s="12"/>
      <c r="AM5101" s="12"/>
    </row>
    <row r="5102" spans="9:39" x14ac:dyDescent="0.3">
      <c r="I5102" s="12"/>
      <c r="N5102" s="12"/>
      <c r="S5102" s="12"/>
      <c r="X5102" s="12"/>
      <c r="AM5102" s="12"/>
    </row>
    <row r="5103" spans="9:39" x14ac:dyDescent="0.3">
      <c r="I5103" s="12"/>
      <c r="N5103" s="12"/>
      <c r="S5103" s="12"/>
      <c r="X5103" s="12"/>
      <c r="AM5103" s="12"/>
    </row>
    <row r="5104" spans="9:39" x14ac:dyDescent="0.3">
      <c r="I5104" s="12"/>
      <c r="N5104" s="12"/>
      <c r="S5104" s="12"/>
      <c r="X5104" s="12"/>
      <c r="AM5104" s="12"/>
    </row>
    <row r="5105" spans="9:39" x14ac:dyDescent="0.3">
      <c r="I5105" s="12"/>
      <c r="N5105" s="12"/>
      <c r="S5105" s="12"/>
      <c r="X5105" s="12"/>
      <c r="AM5105" s="12"/>
    </row>
    <row r="5106" spans="9:39" x14ac:dyDescent="0.3">
      <c r="I5106" s="12"/>
      <c r="N5106" s="12"/>
      <c r="S5106" s="12"/>
      <c r="X5106" s="12"/>
      <c r="AM5106" s="12"/>
    </row>
    <row r="5107" spans="9:39" x14ac:dyDescent="0.3">
      <c r="I5107" s="12"/>
      <c r="N5107" s="12"/>
      <c r="S5107" s="12"/>
      <c r="X5107" s="12"/>
      <c r="AM5107" s="12"/>
    </row>
    <row r="5108" spans="9:39" x14ac:dyDescent="0.3">
      <c r="I5108" s="12"/>
      <c r="N5108" s="12"/>
      <c r="S5108" s="12"/>
      <c r="X5108" s="12"/>
      <c r="AM5108" s="12"/>
    </row>
    <row r="5109" spans="9:39" x14ac:dyDescent="0.3">
      <c r="I5109" s="12"/>
      <c r="N5109" s="12"/>
      <c r="S5109" s="12"/>
      <c r="X5109" s="12"/>
      <c r="AM5109" s="12"/>
    </row>
    <row r="5110" spans="9:39" x14ac:dyDescent="0.3">
      <c r="I5110" s="12"/>
      <c r="N5110" s="12"/>
      <c r="S5110" s="12"/>
      <c r="X5110" s="12"/>
      <c r="AM5110" s="12"/>
    </row>
    <row r="5111" spans="9:39" x14ac:dyDescent="0.3">
      <c r="I5111" s="12"/>
      <c r="N5111" s="12"/>
      <c r="S5111" s="12"/>
      <c r="X5111" s="12"/>
      <c r="AM5111" s="12"/>
    </row>
    <row r="5112" spans="9:39" x14ac:dyDescent="0.3">
      <c r="I5112" s="12"/>
      <c r="N5112" s="12"/>
      <c r="S5112" s="12"/>
      <c r="X5112" s="12"/>
      <c r="AM5112" s="12"/>
    </row>
    <row r="5113" spans="9:39" x14ac:dyDescent="0.3">
      <c r="I5113" s="12"/>
      <c r="N5113" s="12"/>
      <c r="S5113" s="12"/>
      <c r="X5113" s="12"/>
      <c r="AM5113" s="12"/>
    </row>
    <row r="5114" spans="9:39" x14ac:dyDescent="0.3">
      <c r="I5114" s="12"/>
      <c r="N5114" s="12"/>
      <c r="S5114" s="12"/>
      <c r="X5114" s="12"/>
      <c r="AM5114" s="12"/>
    </row>
    <row r="5115" spans="9:39" x14ac:dyDescent="0.3">
      <c r="I5115" s="12"/>
      <c r="N5115" s="12"/>
      <c r="S5115" s="12"/>
      <c r="X5115" s="12"/>
      <c r="AM5115" s="12"/>
    </row>
    <row r="5116" spans="9:39" x14ac:dyDescent="0.3">
      <c r="I5116" s="12"/>
      <c r="N5116" s="12"/>
      <c r="S5116" s="12"/>
      <c r="X5116" s="12"/>
      <c r="AM5116" s="12"/>
    </row>
    <row r="5117" spans="9:39" x14ac:dyDescent="0.3">
      <c r="I5117" s="12"/>
      <c r="N5117" s="12"/>
      <c r="S5117" s="12"/>
      <c r="X5117" s="12"/>
      <c r="AM5117" s="12"/>
    </row>
    <row r="5118" spans="9:39" x14ac:dyDescent="0.3">
      <c r="I5118" s="12"/>
      <c r="N5118" s="12"/>
      <c r="S5118" s="12"/>
      <c r="X5118" s="12"/>
      <c r="AM5118" s="12"/>
    </row>
    <row r="5119" spans="9:39" x14ac:dyDescent="0.3">
      <c r="I5119" s="12"/>
      <c r="N5119" s="12"/>
      <c r="S5119" s="12"/>
      <c r="X5119" s="12"/>
      <c r="AM5119" s="12"/>
    </row>
    <row r="5120" spans="9:39" x14ac:dyDescent="0.3">
      <c r="I5120" s="12"/>
      <c r="N5120" s="12"/>
      <c r="S5120" s="12"/>
      <c r="X5120" s="12"/>
      <c r="AM5120" s="12"/>
    </row>
    <row r="5121" spans="9:39" x14ac:dyDescent="0.3">
      <c r="I5121" s="12"/>
      <c r="N5121" s="12"/>
      <c r="S5121" s="12"/>
      <c r="X5121" s="12"/>
      <c r="AM5121" s="12"/>
    </row>
    <row r="5122" spans="9:39" x14ac:dyDescent="0.3">
      <c r="I5122" s="12"/>
      <c r="N5122" s="12"/>
      <c r="S5122" s="12"/>
      <c r="X5122" s="12"/>
      <c r="AM5122" s="12"/>
    </row>
    <row r="5123" spans="9:39" x14ac:dyDescent="0.3">
      <c r="I5123" s="12"/>
      <c r="N5123" s="12"/>
      <c r="S5123" s="12"/>
      <c r="X5123" s="12"/>
      <c r="AM5123" s="12"/>
    </row>
    <row r="5124" spans="9:39" x14ac:dyDescent="0.3">
      <c r="I5124" s="12"/>
      <c r="N5124" s="12"/>
      <c r="S5124" s="12"/>
      <c r="X5124" s="12"/>
      <c r="AM5124" s="12"/>
    </row>
    <row r="5125" spans="9:39" x14ac:dyDescent="0.3">
      <c r="I5125" s="12"/>
      <c r="N5125" s="12"/>
      <c r="S5125" s="12"/>
      <c r="X5125" s="12"/>
      <c r="AM5125" s="12"/>
    </row>
    <row r="5126" spans="9:39" x14ac:dyDescent="0.3">
      <c r="I5126" s="12"/>
      <c r="N5126" s="12"/>
      <c r="S5126" s="12"/>
      <c r="X5126" s="12"/>
      <c r="AM5126" s="12"/>
    </row>
    <row r="5127" spans="9:39" x14ac:dyDescent="0.3">
      <c r="I5127" s="12"/>
      <c r="N5127" s="12"/>
      <c r="S5127" s="12"/>
      <c r="X5127" s="12"/>
      <c r="AM5127" s="12"/>
    </row>
    <row r="5128" spans="9:39" x14ac:dyDescent="0.3">
      <c r="I5128" s="12"/>
      <c r="N5128" s="12"/>
      <c r="S5128" s="12"/>
      <c r="X5128" s="12"/>
      <c r="AM5128" s="12"/>
    </row>
    <row r="5129" spans="9:39" x14ac:dyDescent="0.3">
      <c r="I5129" s="12"/>
      <c r="N5129" s="12"/>
      <c r="S5129" s="12"/>
      <c r="X5129" s="12"/>
      <c r="AM5129" s="12"/>
    </row>
    <row r="5130" spans="9:39" x14ac:dyDescent="0.3">
      <c r="I5130" s="12"/>
      <c r="N5130" s="12"/>
      <c r="S5130" s="12"/>
      <c r="X5130" s="12"/>
      <c r="AM5130" s="12"/>
    </row>
    <row r="5131" spans="9:39" x14ac:dyDescent="0.3">
      <c r="I5131" s="12"/>
      <c r="N5131" s="12"/>
      <c r="S5131" s="12"/>
      <c r="X5131" s="12"/>
      <c r="AM5131" s="12"/>
    </row>
    <row r="5132" spans="9:39" x14ac:dyDescent="0.3">
      <c r="I5132" s="12"/>
      <c r="N5132" s="12"/>
      <c r="S5132" s="12"/>
      <c r="X5132" s="12"/>
      <c r="AM5132" s="12"/>
    </row>
    <row r="5133" spans="9:39" x14ac:dyDescent="0.3">
      <c r="I5133" s="12"/>
      <c r="N5133" s="12"/>
      <c r="S5133" s="12"/>
      <c r="X5133" s="12"/>
      <c r="AM5133" s="12"/>
    </row>
    <row r="5134" spans="9:39" x14ac:dyDescent="0.3">
      <c r="I5134" s="12"/>
      <c r="N5134" s="12"/>
      <c r="S5134" s="12"/>
      <c r="X5134" s="12"/>
      <c r="AM5134" s="12"/>
    </row>
    <row r="5135" spans="9:39" x14ac:dyDescent="0.3">
      <c r="I5135" s="12"/>
      <c r="N5135" s="12"/>
      <c r="S5135" s="12"/>
      <c r="X5135" s="12"/>
      <c r="AM5135" s="12"/>
    </row>
    <row r="5136" spans="9:39" x14ac:dyDescent="0.3">
      <c r="I5136" s="12"/>
      <c r="N5136" s="12"/>
      <c r="S5136" s="12"/>
      <c r="X5136" s="12"/>
      <c r="AM5136" s="12"/>
    </row>
    <row r="5137" spans="9:39" x14ac:dyDescent="0.3">
      <c r="I5137" s="12"/>
      <c r="N5137" s="12"/>
      <c r="S5137" s="12"/>
      <c r="X5137" s="12"/>
      <c r="AM5137" s="12"/>
    </row>
    <row r="5138" spans="9:39" x14ac:dyDescent="0.3">
      <c r="I5138" s="12"/>
      <c r="N5138" s="12"/>
      <c r="S5138" s="12"/>
      <c r="X5138" s="12"/>
      <c r="AM5138" s="12"/>
    </row>
    <row r="5139" spans="9:39" x14ac:dyDescent="0.3">
      <c r="I5139" s="12"/>
      <c r="N5139" s="12"/>
      <c r="S5139" s="12"/>
      <c r="X5139" s="12"/>
      <c r="AM5139" s="12"/>
    </row>
    <row r="5140" spans="9:39" x14ac:dyDescent="0.3">
      <c r="I5140" s="12"/>
      <c r="N5140" s="12"/>
      <c r="S5140" s="12"/>
      <c r="X5140" s="12"/>
      <c r="AM5140" s="12"/>
    </row>
    <row r="5141" spans="9:39" x14ac:dyDescent="0.3">
      <c r="I5141" s="12"/>
      <c r="N5141" s="12"/>
      <c r="S5141" s="12"/>
      <c r="X5141" s="12"/>
      <c r="AM5141" s="12"/>
    </row>
    <row r="5142" spans="9:39" x14ac:dyDescent="0.3">
      <c r="I5142" s="12"/>
      <c r="N5142" s="12"/>
      <c r="S5142" s="12"/>
      <c r="X5142" s="12"/>
      <c r="AM5142" s="12"/>
    </row>
    <row r="5143" spans="9:39" x14ac:dyDescent="0.3">
      <c r="I5143" s="12"/>
      <c r="N5143" s="12"/>
      <c r="S5143" s="12"/>
      <c r="X5143" s="12"/>
      <c r="AM5143" s="12"/>
    </row>
    <row r="5144" spans="9:39" x14ac:dyDescent="0.3">
      <c r="I5144" s="12"/>
      <c r="N5144" s="12"/>
      <c r="S5144" s="12"/>
      <c r="X5144" s="12"/>
      <c r="AM5144" s="12"/>
    </row>
    <row r="5145" spans="9:39" x14ac:dyDescent="0.3">
      <c r="I5145" s="12"/>
      <c r="N5145" s="12"/>
      <c r="S5145" s="12"/>
      <c r="X5145" s="12"/>
      <c r="AM5145" s="12"/>
    </row>
    <row r="5146" spans="9:39" x14ac:dyDescent="0.3">
      <c r="I5146" s="12"/>
      <c r="N5146" s="12"/>
      <c r="S5146" s="12"/>
      <c r="X5146" s="12"/>
      <c r="AM5146" s="12"/>
    </row>
    <row r="5147" spans="9:39" x14ac:dyDescent="0.3">
      <c r="I5147" s="12"/>
      <c r="N5147" s="12"/>
      <c r="S5147" s="12"/>
      <c r="X5147" s="12"/>
      <c r="AM5147" s="12"/>
    </row>
    <row r="5148" spans="9:39" x14ac:dyDescent="0.3">
      <c r="I5148" s="12"/>
      <c r="N5148" s="12"/>
      <c r="S5148" s="12"/>
      <c r="X5148" s="12"/>
      <c r="AM5148" s="12"/>
    </row>
    <row r="5149" spans="9:39" x14ac:dyDescent="0.3">
      <c r="I5149" s="12"/>
      <c r="N5149" s="12"/>
      <c r="S5149" s="12"/>
      <c r="X5149" s="12"/>
      <c r="AM5149" s="12"/>
    </row>
    <row r="5150" spans="9:39" x14ac:dyDescent="0.3">
      <c r="I5150" s="12"/>
      <c r="N5150" s="12"/>
      <c r="S5150" s="12"/>
      <c r="X5150" s="12"/>
      <c r="AM5150" s="12"/>
    </row>
    <row r="5151" spans="9:39" x14ac:dyDescent="0.3">
      <c r="I5151" s="12"/>
      <c r="N5151" s="12"/>
      <c r="S5151" s="12"/>
      <c r="X5151" s="12"/>
      <c r="AM5151" s="12"/>
    </row>
    <row r="5152" spans="9:39" x14ac:dyDescent="0.3">
      <c r="I5152" s="12"/>
      <c r="N5152" s="12"/>
      <c r="S5152" s="12"/>
      <c r="X5152" s="12"/>
      <c r="AM5152" s="12"/>
    </row>
    <row r="5153" spans="9:39" x14ac:dyDescent="0.3">
      <c r="I5153" s="12"/>
      <c r="N5153" s="12"/>
      <c r="S5153" s="12"/>
      <c r="X5153" s="12"/>
      <c r="AM5153" s="12"/>
    </row>
    <row r="5154" spans="9:39" x14ac:dyDescent="0.3">
      <c r="I5154" s="12"/>
      <c r="N5154" s="12"/>
      <c r="S5154" s="12"/>
      <c r="X5154" s="12"/>
      <c r="AM5154" s="12"/>
    </row>
    <row r="5155" spans="9:39" x14ac:dyDescent="0.3">
      <c r="I5155" s="12"/>
      <c r="N5155" s="12"/>
      <c r="S5155" s="12"/>
      <c r="X5155" s="12"/>
      <c r="AM5155" s="12"/>
    </row>
    <row r="5156" spans="9:39" x14ac:dyDescent="0.3">
      <c r="I5156" s="12"/>
      <c r="N5156" s="12"/>
      <c r="S5156" s="12"/>
      <c r="X5156" s="12"/>
      <c r="AM5156" s="12"/>
    </row>
    <row r="5157" spans="9:39" x14ac:dyDescent="0.3">
      <c r="I5157" s="12"/>
      <c r="N5157" s="12"/>
      <c r="S5157" s="12"/>
      <c r="X5157" s="12"/>
      <c r="AM5157" s="12"/>
    </row>
    <row r="5158" spans="9:39" x14ac:dyDescent="0.3">
      <c r="I5158" s="12"/>
      <c r="N5158" s="12"/>
      <c r="S5158" s="12"/>
      <c r="X5158" s="12"/>
      <c r="AM5158" s="12"/>
    </row>
    <row r="5159" spans="9:39" x14ac:dyDescent="0.3">
      <c r="I5159" s="12"/>
      <c r="N5159" s="12"/>
      <c r="S5159" s="12"/>
      <c r="X5159" s="12"/>
      <c r="AM5159" s="12"/>
    </row>
    <row r="5160" spans="9:39" x14ac:dyDescent="0.3">
      <c r="I5160" s="12"/>
      <c r="N5160" s="12"/>
      <c r="S5160" s="12"/>
      <c r="X5160" s="12"/>
      <c r="AM5160" s="12"/>
    </row>
    <row r="5161" spans="9:39" x14ac:dyDescent="0.3">
      <c r="I5161" s="12"/>
      <c r="N5161" s="12"/>
      <c r="S5161" s="12"/>
      <c r="X5161" s="12"/>
      <c r="AM5161" s="12"/>
    </row>
    <row r="5162" spans="9:39" x14ac:dyDescent="0.3">
      <c r="I5162" s="12"/>
      <c r="N5162" s="12"/>
      <c r="S5162" s="12"/>
      <c r="X5162" s="12"/>
      <c r="AM5162" s="12"/>
    </row>
    <row r="5163" spans="9:39" x14ac:dyDescent="0.3">
      <c r="I5163" s="12"/>
      <c r="N5163" s="12"/>
      <c r="S5163" s="12"/>
      <c r="X5163" s="12"/>
      <c r="AM5163" s="12"/>
    </row>
    <row r="5164" spans="9:39" x14ac:dyDescent="0.3">
      <c r="I5164" s="12"/>
      <c r="N5164" s="12"/>
      <c r="S5164" s="12"/>
      <c r="X5164" s="12"/>
      <c r="AM5164" s="12"/>
    </row>
    <row r="5165" spans="9:39" x14ac:dyDescent="0.3">
      <c r="I5165" s="12"/>
      <c r="N5165" s="12"/>
      <c r="S5165" s="12"/>
      <c r="X5165" s="12"/>
      <c r="AM5165" s="12"/>
    </row>
    <row r="5166" spans="9:39" x14ac:dyDescent="0.3">
      <c r="I5166" s="12"/>
      <c r="N5166" s="12"/>
      <c r="S5166" s="12"/>
      <c r="X5166" s="12"/>
      <c r="AM5166" s="12"/>
    </row>
    <row r="5167" spans="9:39" x14ac:dyDescent="0.3">
      <c r="I5167" s="12"/>
      <c r="N5167" s="12"/>
      <c r="S5167" s="12"/>
      <c r="X5167" s="12"/>
      <c r="AM5167" s="12"/>
    </row>
    <row r="5168" spans="9:39" x14ac:dyDescent="0.3">
      <c r="I5168" s="12"/>
      <c r="N5168" s="12"/>
      <c r="S5168" s="12"/>
      <c r="X5168" s="12"/>
      <c r="AM5168" s="12"/>
    </row>
    <row r="5169" spans="9:39" x14ac:dyDescent="0.3">
      <c r="I5169" s="12"/>
      <c r="N5169" s="12"/>
      <c r="S5169" s="12"/>
      <c r="X5169" s="12"/>
      <c r="AM5169" s="12"/>
    </row>
    <row r="5170" spans="9:39" x14ac:dyDescent="0.3">
      <c r="I5170" s="12"/>
      <c r="N5170" s="12"/>
      <c r="S5170" s="12"/>
      <c r="X5170" s="12"/>
      <c r="AM5170" s="12"/>
    </row>
    <row r="5171" spans="9:39" x14ac:dyDescent="0.3">
      <c r="I5171" s="12"/>
      <c r="N5171" s="12"/>
      <c r="S5171" s="12"/>
      <c r="X5171" s="12"/>
      <c r="AM5171" s="12"/>
    </row>
    <row r="5172" spans="9:39" x14ac:dyDescent="0.3">
      <c r="I5172" s="12"/>
      <c r="N5172" s="12"/>
      <c r="S5172" s="12"/>
      <c r="X5172" s="12"/>
      <c r="AM5172" s="12"/>
    </row>
    <row r="5173" spans="9:39" x14ac:dyDescent="0.3">
      <c r="I5173" s="12"/>
      <c r="N5173" s="12"/>
      <c r="S5173" s="12"/>
      <c r="X5173" s="12"/>
      <c r="AM5173" s="12"/>
    </row>
    <row r="5174" spans="9:39" x14ac:dyDescent="0.3">
      <c r="I5174" s="12"/>
      <c r="N5174" s="12"/>
      <c r="S5174" s="12"/>
      <c r="X5174" s="12"/>
      <c r="AM5174" s="12"/>
    </row>
    <row r="5175" spans="9:39" x14ac:dyDescent="0.3">
      <c r="I5175" s="12"/>
      <c r="N5175" s="12"/>
      <c r="S5175" s="12"/>
      <c r="X5175" s="12"/>
      <c r="AM5175" s="12"/>
    </row>
    <row r="5176" spans="9:39" x14ac:dyDescent="0.3">
      <c r="I5176" s="12"/>
      <c r="N5176" s="12"/>
      <c r="S5176" s="12"/>
      <c r="X5176" s="12"/>
      <c r="AM5176" s="12"/>
    </row>
    <row r="5177" spans="9:39" x14ac:dyDescent="0.3">
      <c r="I5177" s="12"/>
      <c r="N5177" s="12"/>
      <c r="S5177" s="12"/>
      <c r="X5177" s="12"/>
      <c r="AM5177" s="12"/>
    </row>
    <row r="5178" spans="9:39" x14ac:dyDescent="0.3">
      <c r="I5178" s="12"/>
      <c r="N5178" s="12"/>
      <c r="S5178" s="12"/>
      <c r="X5178" s="12"/>
      <c r="AM5178" s="12"/>
    </row>
    <row r="5179" spans="9:39" x14ac:dyDescent="0.3">
      <c r="I5179" s="12"/>
      <c r="N5179" s="12"/>
      <c r="S5179" s="12"/>
      <c r="X5179" s="12"/>
      <c r="AM5179" s="12"/>
    </row>
    <row r="5180" spans="9:39" x14ac:dyDescent="0.3">
      <c r="I5180" s="12"/>
      <c r="N5180" s="12"/>
      <c r="S5180" s="12"/>
      <c r="X5180" s="12"/>
      <c r="AM5180" s="12"/>
    </row>
    <row r="5181" spans="9:39" x14ac:dyDescent="0.3">
      <c r="I5181" s="12"/>
      <c r="N5181" s="12"/>
      <c r="S5181" s="12"/>
      <c r="X5181" s="12"/>
      <c r="AM5181" s="12"/>
    </row>
    <row r="5182" spans="9:39" x14ac:dyDescent="0.3">
      <c r="I5182" s="12"/>
      <c r="N5182" s="12"/>
      <c r="S5182" s="12"/>
      <c r="X5182" s="12"/>
      <c r="AM5182" s="12"/>
    </row>
    <row r="5183" spans="9:39" x14ac:dyDescent="0.3">
      <c r="I5183" s="12"/>
      <c r="N5183" s="12"/>
      <c r="S5183" s="12"/>
      <c r="X5183" s="12"/>
      <c r="AM5183" s="12"/>
    </row>
    <row r="5184" spans="9:39" x14ac:dyDescent="0.3">
      <c r="I5184" s="12"/>
      <c r="N5184" s="12"/>
      <c r="S5184" s="12"/>
      <c r="X5184" s="12"/>
      <c r="AM5184" s="12"/>
    </row>
    <row r="5185" spans="9:39" x14ac:dyDescent="0.3">
      <c r="I5185" s="12"/>
      <c r="N5185" s="12"/>
      <c r="S5185" s="12"/>
      <c r="X5185" s="12"/>
      <c r="AM5185" s="12"/>
    </row>
    <row r="5186" spans="9:39" x14ac:dyDescent="0.3">
      <c r="I5186" s="12"/>
      <c r="N5186" s="12"/>
      <c r="S5186" s="12"/>
      <c r="X5186" s="12"/>
      <c r="AM5186" s="12"/>
    </row>
    <row r="5187" spans="9:39" x14ac:dyDescent="0.3">
      <c r="I5187" s="12"/>
      <c r="N5187" s="12"/>
      <c r="S5187" s="12"/>
      <c r="X5187" s="12"/>
      <c r="AM5187" s="12"/>
    </row>
    <row r="5188" spans="9:39" x14ac:dyDescent="0.3">
      <c r="I5188" s="12"/>
      <c r="N5188" s="12"/>
      <c r="S5188" s="12"/>
      <c r="X5188" s="12"/>
      <c r="AM5188" s="12"/>
    </row>
    <row r="5189" spans="9:39" x14ac:dyDescent="0.3">
      <c r="I5189" s="12"/>
      <c r="N5189" s="12"/>
      <c r="S5189" s="12"/>
      <c r="X5189" s="12"/>
      <c r="AM5189" s="12"/>
    </row>
    <row r="5190" spans="9:39" x14ac:dyDescent="0.3">
      <c r="I5190" s="12"/>
      <c r="N5190" s="12"/>
      <c r="S5190" s="12"/>
      <c r="X5190" s="12"/>
      <c r="AM5190" s="12"/>
    </row>
    <row r="5191" spans="9:39" x14ac:dyDescent="0.3">
      <c r="I5191" s="12"/>
      <c r="N5191" s="12"/>
      <c r="S5191" s="12"/>
      <c r="X5191" s="12"/>
      <c r="AM5191" s="12"/>
    </row>
    <row r="5192" spans="9:39" x14ac:dyDescent="0.3">
      <c r="I5192" s="12"/>
      <c r="N5192" s="12"/>
      <c r="S5192" s="12"/>
      <c r="X5192" s="12"/>
      <c r="AM5192" s="12"/>
    </row>
    <row r="5193" spans="9:39" x14ac:dyDescent="0.3">
      <c r="I5193" s="12"/>
      <c r="N5193" s="12"/>
      <c r="S5193" s="12"/>
      <c r="X5193" s="12"/>
      <c r="AM5193" s="12"/>
    </row>
    <row r="5194" spans="9:39" x14ac:dyDescent="0.3">
      <c r="I5194" s="12"/>
      <c r="N5194" s="12"/>
      <c r="S5194" s="12"/>
      <c r="X5194" s="12"/>
      <c r="AM5194" s="12"/>
    </row>
    <row r="5195" spans="9:39" x14ac:dyDescent="0.3">
      <c r="I5195" s="12"/>
      <c r="N5195" s="12"/>
      <c r="S5195" s="12"/>
      <c r="X5195" s="12"/>
      <c r="AM5195" s="12"/>
    </row>
    <row r="5196" spans="9:39" x14ac:dyDescent="0.3">
      <c r="I5196" s="12"/>
      <c r="N5196" s="12"/>
      <c r="S5196" s="12"/>
      <c r="X5196" s="12"/>
      <c r="AM5196" s="12"/>
    </row>
    <row r="5197" spans="9:39" x14ac:dyDescent="0.3">
      <c r="I5197" s="12"/>
      <c r="N5197" s="12"/>
      <c r="S5197" s="12"/>
      <c r="X5197" s="12"/>
      <c r="AM5197" s="12"/>
    </row>
    <row r="5198" spans="9:39" x14ac:dyDescent="0.3">
      <c r="I5198" s="12"/>
      <c r="N5198" s="12"/>
      <c r="S5198" s="12"/>
      <c r="X5198" s="12"/>
      <c r="AM5198" s="12"/>
    </row>
    <row r="5199" spans="9:39" x14ac:dyDescent="0.3">
      <c r="I5199" s="12"/>
      <c r="N5199" s="12"/>
      <c r="S5199" s="12"/>
      <c r="X5199" s="12"/>
      <c r="AM5199" s="12"/>
    </row>
    <row r="5200" spans="9:39" x14ac:dyDescent="0.3">
      <c r="I5200" s="12"/>
      <c r="N5200" s="12"/>
      <c r="S5200" s="12"/>
      <c r="X5200" s="12"/>
      <c r="AM5200" s="12"/>
    </row>
    <row r="5201" spans="9:39" x14ac:dyDescent="0.3">
      <c r="I5201" s="12"/>
      <c r="N5201" s="12"/>
      <c r="S5201" s="12"/>
      <c r="X5201" s="12"/>
      <c r="AM5201" s="12"/>
    </row>
    <row r="5202" spans="9:39" x14ac:dyDescent="0.3">
      <c r="I5202" s="12"/>
      <c r="N5202" s="12"/>
      <c r="S5202" s="12"/>
      <c r="X5202" s="12"/>
      <c r="AM5202" s="12"/>
    </row>
    <row r="5203" spans="9:39" x14ac:dyDescent="0.3">
      <c r="I5203" s="12"/>
      <c r="N5203" s="12"/>
      <c r="S5203" s="12"/>
      <c r="X5203" s="12"/>
      <c r="AM5203" s="12"/>
    </row>
    <row r="5204" spans="9:39" x14ac:dyDescent="0.3">
      <c r="I5204" s="12"/>
      <c r="N5204" s="12"/>
      <c r="S5204" s="12"/>
      <c r="X5204" s="12"/>
      <c r="AM5204" s="12"/>
    </row>
    <row r="5205" spans="9:39" x14ac:dyDescent="0.3">
      <c r="I5205" s="12"/>
      <c r="N5205" s="12"/>
      <c r="S5205" s="12"/>
      <c r="X5205" s="12"/>
      <c r="AM5205" s="12"/>
    </row>
    <row r="5206" spans="9:39" x14ac:dyDescent="0.3">
      <c r="I5206" s="12"/>
      <c r="N5206" s="12"/>
      <c r="S5206" s="12"/>
      <c r="X5206" s="12"/>
      <c r="AM5206" s="12"/>
    </row>
    <row r="5207" spans="9:39" x14ac:dyDescent="0.3">
      <c r="I5207" s="12"/>
      <c r="N5207" s="12"/>
      <c r="S5207" s="12"/>
      <c r="X5207" s="12"/>
      <c r="AM5207" s="12"/>
    </row>
    <row r="5208" spans="9:39" x14ac:dyDescent="0.3">
      <c r="I5208" s="12"/>
      <c r="N5208" s="12"/>
      <c r="S5208" s="12"/>
      <c r="X5208" s="12"/>
      <c r="AM5208" s="12"/>
    </row>
    <row r="5209" spans="9:39" x14ac:dyDescent="0.3">
      <c r="I5209" s="12"/>
      <c r="N5209" s="12"/>
      <c r="S5209" s="12"/>
      <c r="X5209" s="12"/>
      <c r="AM5209" s="12"/>
    </row>
    <row r="5210" spans="9:39" x14ac:dyDescent="0.3">
      <c r="I5210" s="12"/>
      <c r="N5210" s="12"/>
      <c r="S5210" s="12"/>
      <c r="X5210" s="12"/>
      <c r="AM5210" s="12"/>
    </row>
    <row r="5211" spans="9:39" x14ac:dyDescent="0.3">
      <c r="I5211" s="12"/>
      <c r="N5211" s="12"/>
      <c r="S5211" s="12"/>
      <c r="X5211" s="12"/>
      <c r="AM5211" s="12"/>
    </row>
    <row r="5212" spans="9:39" x14ac:dyDescent="0.3">
      <c r="I5212" s="12"/>
      <c r="N5212" s="12"/>
      <c r="S5212" s="12"/>
      <c r="X5212" s="12"/>
      <c r="AM5212" s="12"/>
    </row>
    <row r="5213" spans="9:39" x14ac:dyDescent="0.3">
      <c r="I5213" s="12"/>
      <c r="N5213" s="12"/>
      <c r="S5213" s="12"/>
      <c r="X5213" s="12"/>
      <c r="AM5213" s="12"/>
    </row>
    <row r="5214" spans="9:39" x14ac:dyDescent="0.3">
      <c r="I5214" s="12"/>
      <c r="N5214" s="12"/>
      <c r="S5214" s="12"/>
      <c r="X5214" s="12"/>
      <c r="AM5214" s="12"/>
    </row>
    <row r="5215" spans="9:39" x14ac:dyDescent="0.3">
      <c r="I5215" s="12"/>
      <c r="N5215" s="12"/>
      <c r="S5215" s="12"/>
      <c r="X5215" s="12"/>
      <c r="AM5215" s="12"/>
    </row>
    <row r="5216" spans="9:39" x14ac:dyDescent="0.3">
      <c r="I5216" s="12"/>
      <c r="N5216" s="12"/>
      <c r="S5216" s="12"/>
      <c r="X5216" s="12"/>
      <c r="AM5216" s="12"/>
    </row>
    <row r="5217" spans="9:39" x14ac:dyDescent="0.3">
      <c r="I5217" s="12"/>
      <c r="N5217" s="12"/>
      <c r="S5217" s="12"/>
      <c r="X5217" s="12"/>
      <c r="AM5217" s="12"/>
    </row>
    <row r="5218" spans="9:39" x14ac:dyDescent="0.3">
      <c r="I5218" s="12"/>
      <c r="N5218" s="12"/>
      <c r="S5218" s="12"/>
      <c r="X5218" s="12"/>
      <c r="AM5218" s="12"/>
    </row>
    <row r="5219" spans="9:39" x14ac:dyDescent="0.3">
      <c r="I5219" s="12"/>
      <c r="N5219" s="12"/>
      <c r="S5219" s="12"/>
      <c r="X5219" s="12"/>
      <c r="AM5219" s="12"/>
    </row>
    <row r="5220" spans="9:39" x14ac:dyDescent="0.3">
      <c r="I5220" s="12"/>
      <c r="N5220" s="12"/>
      <c r="S5220" s="12"/>
      <c r="X5220" s="12"/>
      <c r="AM5220" s="12"/>
    </row>
    <row r="5221" spans="9:39" x14ac:dyDescent="0.3">
      <c r="I5221" s="12"/>
      <c r="N5221" s="12"/>
      <c r="S5221" s="12"/>
      <c r="X5221" s="12"/>
      <c r="AM5221" s="12"/>
    </row>
    <row r="5222" spans="9:39" x14ac:dyDescent="0.3">
      <c r="I5222" s="12"/>
      <c r="N5222" s="12"/>
      <c r="S5222" s="12"/>
      <c r="X5222" s="12"/>
      <c r="AM5222" s="12"/>
    </row>
    <row r="5223" spans="9:39" x14ac:dyDescent="0.3">
      <c r="I5223" s="12"/>
      <c r="N5223" s="12"/>
      <c r="S5223" s="12"/>
      <c r="X5223" s="12"/>
      <c r="AM5223" s="12"/>
    </row>
    <row r="5224" spans="9:39" x14ac:dyDescent="0.3">
      <c r="I5224" s="12"/>
      <c r="N5224" s="12"/>
      <c r="S5224" s="12"/>
      <c r="X5224" s="12"/>
      <c r="AM5224" s="12"/>
    </row>
    <row r="5225" spans="9:39" x14ac:dyDescent="0.3">
      <c r="I5225" s="12"/>
      <c r="N5225" s="12"/>
      <c r="S5225" s="12"/>
      <c r="X5225" s="12"/>
      <c r="AM5225" s="12"/>
    </row>
    <row r="5226" spans="9:39" x14ac:dyDescent="0.3">
      <c r="I5226" s="12"/>
      <c r="N5226" s="12"/>
      <c r="S5226" s="12"/>
      <c r="X5226" s="12"/>
      <c r="AM5226" s="12"/>
    </row>
    <row r="5227" spans="9:39" x14ac:dyDescent="0.3">
      <c r="I5227" s="12"/>
      <c r="N5227" s="12"/>
      <c r="S5227" s="12"/>
      <c r="X5227" s="12"/>
      <c r="AM5227" s="12"/>
    </row>
    <row r="5228" spans="9:39" x14ac:dyDescent="0.3">
      <c r="I5228" s="12"/>
      <c r="N5228" s="12"/>
      <c r="S5228" s="12"/>
      <c r="X5228" s="12"/>
      <c r="AM5228" s="12"/>
    </row>
    <row r="5229" spans="9:39" x14ac:dyDescent="0.3">
      <c r="I5229" s="12"/>
      <c r="N5229" s="12"/>
      <c r="S5229" s="12"/>
      <c r="X5229" s="12"/>
      <c r="AM5229" s="12"/>
    </row>
    <row r="5230" spans="9:39" x14ac:dyDescent="0.3">
      <c r="I5230" s="12"/>
      <c r="N5230" s="12"/>
      <c r="S5230" s="12"/>
      <c r="X5230" s="12"/>
      <c r="AM5230" s="12"/>
    </row>
    <row r="5231" spans="9:39" x14ac:dyDescent="0.3">
      <c r="I5231" s="12"/>
      <c r="N5231" s="12"/>
      <c r="S5231" s="12"/>
      <c r="X5231" s="12"/>
      <c r="AM5231" s="12"/>
    </row>
    <row r="5232" spans="9:39" x14ac:dyDescent="0.3">
      <c r="I5232" s="12"/>
      <c r="N5232" s="12"/>
      <c r="S5232" s="12"/>
      <c r="X5232" s="12"/>
      <c r="AM5232" s="12"/>
    </row>
    <row r="5233" spans="9:39" x14ac:dyDescent="0.3">
      <c r="I5233" s="12"/>
      <c r="N5233" s="12"/>
      <c r="S5233" s="12"/>
      <c r="X5233" s="12"/>
      <c r="AM5233" s="12"/>
    </row>
    <row r="5234" spans="9:39" x14ac:dyDescent="0.3">
      <c r="I5234" s="12"/>
      <c r="N5234" s="12"/>
      <c r="S5234" s="12"/>
      <c r="X5234" s="12"/>
      <c r="AM5234" s="12"/>
    </row>
    <row r="5235" spans="9:39" x14ac:dyDescent="0.3">
      <c r="I5235" s="12"/>
      <c r="N5235" s="12"/>
      <c r="S5235" s="12"/>
      <c r="X5235" s="12"/>
      <c r="AM5235" s="12"/>
    </row>
    <row r="5236" spans="9:39" x14ac:dyDescent="0.3">
      <c r="I5236" s="12"/>
      <c r="N5236" s="12"/>
      <c r="S5236" s="12"/>
      <c r="X5236" s="12"/>
      <c r="AM5236" s="12"/>
    </row>
    <row r="5237" spans="9:39" x14ac:dyDescent="0.3">
      <c r="I5237" s="12"/>
      <c r="N5237" s="12"/>
      <c r="S5237" s="12"/>
      <c r="X5237" s="12"/>
      <c r="AM5237" s="12"/>
    </row>
    <row r="5238" spans="9:39" x14ac:dyDescent="0.3">
      <c r="I5238" s="12"/>
      <c r="N5238" s="12"/>
      <c r="S5238" s="12"/>
      <c r="X5238" s="12"/>
      <c r="AM5238" s="12"/>
    </row>
    <row r="5239" spans="9:39" x14ac:dyDescent="0.3">
      <c r="I5239" s="12"/>
      <c r="N5239" s="12"/>
      <c r="S5239" s="12"/>
      <c r="X5239" s="12"/>
      <c r="AM5239" s="12"/>
    </row>
    <row r="5240" spans="9:39" x14ac:dyDescent="0.3">
      <c r="I5240" s="12"/>
      <c r="N5240" s="12"/>
      <c r="S5240" s="12"/>
      <c r="X5240" s="12"/>
      <c r="AM5240" s="12"/>
    </row>
    <row r="5241" spans="9:39" x14ac:dyDescent="0.3">
      <c r="I5241" s="12"/>
      <c r="N5241" s="12"/>
      <c r="S5241" s="12"/>
      <c r="X5241" s="12"/>
      <c r="AM5241" s="12"/>
    </row>
    <row r="5242" spans="9:39" x14ac:dyDescent="0.3">
      <c r="I5242" s="12"/>
      <c r="N5242" s="12"/>
      <c r="S5242" s="12"/>
      <c r="X5242" s="12"/>
      <c r="AM5242" s="12"/>
    </row>
    <row r="5243" spans="9:39" x14ac:dyDescent="0.3">
      <c r="I5243" s="12"/>
      <c r="N5243" s="12"/>
      <c r="S5243" s="12"/>
      <c r="X5243" s="12"/>
      <c r="AM5243" s="12"/>
    </row>
    <row r="5244" spans="9:39" x14ac:dyDescent="0.3">
      <c r="I5244" s="12"/>
      <c r="N5244" s="12"/>
      <c r="S5244" s="12"/>
      <c r="X5244" s="12"/>
      <c r="AM5244" s="12"/>
    </row>
    <row r="5245" spans="9:39" x14ac:dyDescent="0.3">
      <c r="I5245" s="12"/>
      <c r="N5245" s="12"/>
      <c r="S5245" s="12"/>
      <c r="X5245" s="12"/>
      <c r="AM5245" s="12"/>
    </row>
    <row r="5246" spans="9:39" x14ac:dyDescent="0.3">
      <c r="I5246" s="12"/>
      <c r="N5246" s="12"/>
      <c r="S5246" s="12"/>
      <c r="X5246" s="12"/>
      <c r="AM5246" s="12"/>
    </row>
    <row r="5247" spans="9:39" x14ac:dyDescent="0.3">
      <c r="I5247" s="12"/>
      <c r="N5247" s="12"/>
      <c r="S5247" s="12"/>
      <c r="X5247" s="12"/>
      <c r="AM5247" s="12"/>
    </row>
    <row r="5248" spans="9:39" x14ac:dyDescent="0.3">
      <c r="I5248" s="12"/>
      <c r="N5248" s="12"/>
      <c r="S5248" s="12"/>
      <c r="X5248" s="12"/>
      <c r="AM5248" s="12"/>
    </row>
    <row r="5249" spans="9:39" x14ac:dyDescent="0.3">
      <c r="I5249" s="12"/>
      <c r="N5249" s="12"/>
      <c r="S5249" s="12"/>
      <c r="X5249" s="12"/>
      <c r="AM5249" s="12"/>
    </row>
    <row r="5250" spans="9:39" x14ac:dyDescent="0.3">
      <c r="I5250" s="12"/>
      <c r="N5250" s="12"/>
      <c r="S5250" s="12"/>
      <c r="X5250" s="12"/>
      <c r="AM5250" s="12"/>
    </row>
    <row r="5251" spans="9:39" x14ac:dyDescent="0.3">
      <c r="I5251" s="12"/>
      <c r="N5251" s="12"/>
      <c r="S5251" s="12"/>
      <c r="X5251" s="12"/>
      <c r="AM5251" s="12"/>
    </row>
    <row r="5252" spans="9:39" x14ac:dyDescent="0.3">
      <c r="I5252" s="12"/>
      <c r="N5252" s="12"/>
      <c r="S5252" s="12"/>
      <c r="X5252" s="12"/>
      <c r="AM5252" s="12"/>
    </row>
    <row r="5253" spans="9:39" x14ac:dyDescent="0.3">
      <c r="I5253" s="12"/>
      <c r="N5253" s="12"/>
      <c r="S5253" s="12"/>
      <c r="X5253" s="12"/>
      <c r="AM5253" s="12"/>
    </row>
    <row r="5254" spans="9:39" x14ac:dyDescent="0.3">
      <c r="I5254" s="12"/>
      <c r="N5254" s="12"/>
      <c r="S5254" s="12"/>
      <c r="X5254" s="12"/>
      <c r="AM5254" s="12"/>
    </row>
    <row r="5255" spans="9:39" x14ac:dyDescent="0.3">
      <c r="I5255" s="12"/>
      <c r="N5255" s="12"/>
      <c r="S5255" s="12"/>
      <c r="X5255" s="12"/>
      <c r="AM5255" s="12"/>
    </row>
    <row r="5256" spans="9:39" x14ac:dyDescent="0.3">
      <c r="I5256" s="12"/>
      <c r="N5256" s="12"/>
      <c r="S5256" s="12"/>
      <c r="X5256" s="12"/>
      <c r="AM5256" s="12"/>
    </row>
    <row r="5257" spans="9:39" x14ac:dyDescent="0.3">
      <c r="I5257" s="12"/>
      <c r="N5257" s="12"/>
      <c r="S5257" s="12"/>
      <c r="X5257" s="12"/>
      <c r="AM5257" s="12"/>
    </row>
    <row r="5258" spans="9:39" x14ac:dyDescent="0.3">
      <c r="I5258" s="12"/>
      <c r="N5258" s="12"/>
      <c r="S5258" s="12"/>
      <c r="X5258" s="12"/>
      <c r="AM5258" s="12"/>
    </row>
    <row r="5259" spans="9:39" x14ac:dyDescent="0.3">
      <c r="I5259" s="12"/>
      <c r="N5259" s="12"/>
      <c r="S5259" s="12"/>
      <c r="X5259" s="12"/>
      <c r="AM5259" s="12"/>
    </row>
    <row r="5260" spans="9:39" x14ac:dyDescent="0.3">
      <c r="I5260" s="12"/>
      <c r="N5260" s="12"/>
      <c r="S5260" s="12"/>
      <c r="X5260" s="12"/>
      <c r="AM5260" s="12"/>
    </row>
    <row r="5261" spans="9:39" x14ac:dyDescent="0.3">
      <c r="I5261" s="12"/>
      <c r="N5261" s="12"/>
      <c r="S5261" s="12"/>
      <c r="X5261" s="12"/>
      <c r="AM5261" s="12"/>
    </row>
    <row r="5262" spans="9:39" x14ac:dyDescent="0.3">
      <c r="I5262" s="12"/>
      <c r="N5262" s="12"/>
      <c r="S5262" s="12"/>
      <c r="X5262" s="12"/>
      <c r="AM5262" s="12"/>
    </row>
    <row r="5263" spans="9:39" x14ac:dyDescent="0.3">
      <c r="I5263" s="12"/>
      <c r="N5263" s="12"/>
      <c r="S5263" s="12"/>
      <c r="X5263" s="12"/>
      <c r="AM5263" s="12"/>
    </row>
    <row r="5264" spans="9:39" x14ac:dyDescent="0.3">
      <c r="I5264" s="12"/>
      <c r="N5264" s="12"/>
      <c r="S5264" s="12"/>
      <c r="X5264" s="12"/>
      <c r="AM5264" s="12"/>
    </row>
    <row r="5265" spans="9:39" x14ac:dyDescent="0.3">
      <c r="I5265" s="12"/>
      <c r="N5265" s="12"/>
      <c r="S5265" s="12"/>
      <c r="X5265" s="12"/>
      <c r="AM5265" s="12"/>
    </row>
    <row r="5266" spans="9:39" x14ac:dyDescent="0.3">
      <c r="I5266" s="12"/>
      <c r="N5266" s="12"/>
      <c r="S5266" s="12"/>
      <c r="X5266" s="12"/>
      <c r="AM5266" s="12"/>
    </row>
    <row r="5267" spans="9:39" x14ac:dyDescent="0.3">
      <c r="I5267" s="12"/>
      <c r="N5267" s="12"/>
      <c r="S5267" s="12"/>
      <c r="X5267" s="12"/>
      <c r="AM5267" s="12"/>
    </row>
    <row r="5268" spans="9:39" x14ac:dyDescent="0.3">
      <c r="I5268" s="12"/>
      <c r="N5268" s="12"/>
      <c r="S5268" s="12"/>
      <c r="X5268" s="12"/>
      <c r="AM5268" s="12"/>
    </row>
    <row r="5269" spans="9:39" x14ac:dyDescent="0.3">
      <c r="I5269" s="12"/>
      <c r="N5269" s="12"/>
      <c r="S5269" s="12"/>
      <c r="X5269" s="12"/>
      <c r="AM5269" s="12"/>
    </row>
    <row r="5270" spans="9:39" x14ac:dyDescent="0.3">
      <c r="I5270" s="12"/>
      <c r="N5270" s="12"/>
      <c r="S5270" s="12"/>
      <c r="X5270" s="12"/>
      <c r="AM5270" s="12"/>
    </row>
    <row r="5271" spans="9:39" x14ac:dyDescent="0.3">
      <c r="I5271" s="12"/>
      <c r="N5271" s="12"/>
      <c r="S5271" s="12"/>
      <c r="X5271" s="12"/>
      <c r="AM5271" s="12"/>
    </row>
    <row r="5272" spans="9:39" x14ac:dyDescent="0.3">
      <c r="I5272" s="12"/>
      <c r="N5272" s="12"/>
      <c r="S5272" s="12"/>
      <c r="X5272" s="12"/>
      <c r="AM5272" s="12"/>
    </row>
    <row r="5273" spans="9:39" x14ac:dyDescent="0.3">
      <c r="I5273" s="12"/>
      <c r="N5273" s="12"/>
      <c r="S5273" s="12"/>
      <c r="X5273" s="12"/>
      <c r="AM5273" s="12"/>
    </row>
    <row r="5274" spans="9:39" x14ac:dyDescent="0.3">
      <c r="I5274" s="12"/>
      <c r="N5274" s="12"/>
      <c r="S5274" s="12"/>
      <c r="X5274" s="12"/>
      <c r="AM5274" s="12"/>
    </row>
    <row r="5275" spans="9:39" x14ac:dyDescent="0.3">
      <c r="I5275" s="12"/>
      <c r="N5275" s="12"/>
      <c r="S5275" s="12"/>
      <c r="X5275" s="12"/>
      <c r="AM5275" s="12"/>
    </row>
    <row r="5276" spans="9:39" x14ac:dyDescent="0.3">
      <c r="I5276" s="12"/>
      <c r="N5276" s="12"/>
      <c r="S5276" s="12"/>
      <c r="X5276" s="12"/>
      <c r="AM5276" s="12"/>
    </row>
    <row r="5277" spans="9:39" x14ac:dyDescent="0.3">
      <c r="I5277" s="12"/>
      <c r="N5277" s="12"/>
      <c r="S5277" s="12"/>
      <c r="X5277" s="12"/>
      <c r="AM5277" s="12"/>
    </row>
    <row r="5278" spans="9:39" x14ac:dyDescent="0.3">
      <c r="I5278" s="12"/>
      <c r="N5278" s="12"/>
      <c r="S5278" s="12"/>
      <c r="X5278" s="12"/>
      <c r="AM5278" s="12"/>
    </row>
    <row r="5279" spans="9:39" x14ac:dyDescent="0.3">
      <c r="I5279" s="12"/>
      <c r="N5279" s="12"/>
      <c r="S5279" s="12"/>
      <c r="X5279" s="12"/>
      <c r="AM5279" s="12"/>
    </row>
    <row r="5280" spans="9:39" x14ac:dyDescent="0.3">
      <c r="I5280" s="12"/>
      <c r="N5280" s="12"/>
      <c r="S5280" s="12"/>
      <c r="X5280" s="12"/>
      <c r="AM5280" s="12"/>
    </row>
    <row r="5281" spans="9:39" x14ac:dyDescent="0.3">
      <c r="I5281" s="12"/>
      <c r="N5281" s="12"/>
      <c r="S5281" s="12"/>
      <c r="X5281" s="12"/>
      <c r="AM5281" s="12"/>
    </row>
    <row r="5282" spans="9:39" x14ac:dyDescent="0.3">
      <c r="I5282" s="12"/>
      <c r="N5282" s="12"/>
      <c r="S5282" s="12"/>
      <c r="X5282" s="12"/>
      <c r="AM5282" s="12"/>
    </row>
    <row r="5283" spans="9:39" x14ac:dyDescent="0.3">
      <c r="I5283" s="12"/>
      <c r="N5283" s="12"/>
      <c r="S5283" s="12"/>
      <c r="X5283" s="12"/>
      <c r="AM5283" s="12"/>
    </row>
    <row r="5284" spans="9:39" x14ac:dyDescent="0.3">
      <c r="I5284" s="12"/>
      <c r="N5284" s="12"/>
      <c r="S5284" s="12"/>
      <c r="X5284" s="12"/>
      <c r="AM5284" s="12"/>
    </row>
    <row r="5285" spans="9:39" x14ac:dyDescent="0.3">
      <c r="I5285" s="12"/>
      <c r="N5285" s="12"/>
      <c r="S5285" s="12"/>
      <c r="X5285" s="12"/>
      <c r="AM5285" s="12"/>
    </row>
    <row r="5286" spans="9:39" x14ac:dyDescent="0.3">
      <c r="I5286" s="12"/>
      <c r="N5286" s="12"/>
      <c r="S5286" s="12"/>
      <c r="X5286" s="12"/>
      <c r="AM5286" s="12"/>
    </row>
    <row r="5287" spans="9:39" x14ac:dyDescent="0.3">
      <c r="I5287" s="12"/>
      <c r="N5287" s="12"/>
      <c r="S5287" s="12"/>
      <c r="X5287" s="12"/>
      <c r="AM5287" s="12"/>
    </row>
    <row r="5288" spans="9:39" x14ac:dyDescent="0.3">
      <c r="I5288" s="12"/>
      <c r="N5288" s="12"/>
      <c r="S5288" s="12"/>
      <c r="X5288" s="12"/>
      <c r="AM5288" s="12"/>
    </row>
    <row r="5289" spans="9:39" x14ac:dyDescent="0.3">
      <c r="I5289" s="12"/>
      <c r="N5289" s="12"/>
      <c r="S5289" s="12"/>
      <c r="X5289" s="12"/>
      <c r="AM5289" s="12"/>
    </row>
    <row r="5290" spans="9:39" x14ac:dyDescent="0.3">
      <c r="I5290" s="12"/>
      <c r="N5290" s="12"/>
      <c r="S5290" s="12"/>
      <c r="X5290" s="12"/>
      <c r="AM5290" s="12"/>
    </row>
    <row r="5291" spans="9:39" x14ac:dyDescent="0.3">
      <c r="I5291" s="12"/>
      <c r="N5291" s="12"/>
      <c r="S5291" s="12"/>
      <c r="X5291" s="12"/>
      <c r="AM5291" s="12"/>
    </row>
    <row r="5292" spans="9:39" x14ac:dyDescent="0.3">
      <c r="I5292" s="12"/>
      <c r="N5292" s="12"/>
      <c r="S5292" s="12"/>
      <c r="X5292" s="12"/>
      <c r="AM5292" s="12"/>
    </row>
    <row r="5293" spans="9:39" x14ac:dyDescent="0.3">
      <c r="I5293" s="12"/>
      <c r="N5293" s="12"/>
      <c r="S5293" s="12"/>
      <c r="X5293" s="12"/>
      <c r="AM5293" s="12"/>
    </row>
    <row r="5294" spans="9:39" x14ac:dyDescent="0.3">
      <c r="I5294" s="12"/>
      <c r="N5294" s="12"/>
      <c r="S5294" s="12"/>
      <c r="X5294" s="12"/>
      <c r="AM5294" s="12"/>
    </row>
    <row r="5295" spans="9:39" x14ac:dyDescent="0.3">
      <c r="I5295" s="12"/>
      <c r="N5295" s="12"/>
      <c r="S5295" s="12"/>
      <c r="X5295" s="12"/>
      <c r="AM5295" s="12"/>
    </row>
    <row r="5296" spans="9:39" x14ac:dyDescent="0.3">
      <c r="I5296" s="12"/>
      <c r="N5296" s="12"/>
      <c r="S5296" s="12"/>
      <c r="X5296" s="12"/>
      <c r="AM5296" s="12"/>
    </row>
    <row r="5297" spans="9:39" x14ac:dyDescent="0.3">
      <c r="I5297" s="12"/>
      <c r="N5297" s="12"/>
      <c r="S5297" s="12"/>
      <c r="X5297" s="12"/>
      <c r="AM5297" s="12"/>
    </row>
    <row r="5298" spans="9:39" x14ac:dyDescent="0.3">
      <c r="I5298" s="12"/>
      <c r="N5298" s="12"/>
      <c r="S5298" s="12"/>
      <c r="X5298" s="12"/>
      <c r="AM5298" s="12"/>
    </row>
    <row r="5299" spans="9:39" x14ac:dyDescent="0.3">
      <c r="I5299" s="12"/>
      <c r="N5299" s="12"/>
      <c r="S5299" s="12"/>
      <c r="X5299" s="12"/>
      <c r="AM5299" s="12"/>
    </row>
    <row r="5300" spans="9:39" x14ac:dyDescent="0.3">
      <c r="I5300" s="12"/>
      <c r="N5300" s="12"/>
      <c r="S5300" s="12"/>
      <c r="X5300" s="12"/>
      <c r="AM5300" s="12"/>
    </row>
    <row r="5301" spans="9:39" x14ac:dyDescent="0.3">
      <c r="I5301" s="12"/>
      <c r="N5301" s="12"/>
      <c r="S5301" s="12"/>
      <c r="X5301" s="12"/>
      <c r="AM5301" s="12"/>
    </row>
    <row r="5302" spans="9:39" x14ac:dyDescent="0.3">
      <c r="I5302" s="12"/>
      <c r="N5302" s="12"/>
      <c r="S5302" s="12"/>
      <c r="X5302" s="12"/>
      <c r="AM5302" s="12"/>
    </row>
    <row r="5303" spans="9:39" x14ac:dyDescent="0.3">
      <c r="I5303" s="12"/>
      <c r="N5303" s="12"/>
      <c r="S5303" s="12"/>
      <c r="X5303" s="12"/>
      <c r="AM5303" s="12"/>
    </row>
    <row r="5304" spans="9:39" x14ac:dyDescent="0.3">
      <c r="I5304" s="12"/>
      <c r="N5304" s="12"/>
      <c r="S5304" s="12"/>
      <c r="X5304" s="12"/>
      <c r="AM5304" s="12"/>
    </row>
    <row r="5305" spans="9:39" x14ac:dyDescent="0.3">
      <c r="I5305" s="12"/>
      <c r="N5305" s="12"/>
      <c r="S5305" s="12"/>
      <c r="X5305" s="12"/>
      <c r="AM5305" s="12"/>
    </row>
    <row r="5306" spans="9:39" x14ac:dyDescent="0.3">
      <c r="I5306" s="12"/>
      <c r="N5306" s="12"/>
      <c r="S5306" s="12"/>
      <c r="X5306" s="12"/>
      <c r="AM5306" s="12"/>
    </row>
    <row r="5307" spans="9:39" x14ac:dyDescent="0.3">
      <c r="I5307" s="12"/>
      <c r="N5307" s="12"/>
      <c r="S5307" s="12"/>
      <c r="X5307" s="12"/>
      <c r="AM5307" s="12"/>
    </row>
    <row r="5308" spans="9:39" x14ac:dyDescent="0.3">
      <c r="I5308" s="12"/>
      <c r="N5308" s="12"/>
      <c r="S5308" s="12"/>
      <c r="X5308" s="12"/>
      <c r="AM5308" s="12"/>
    </row>
    <row r="5309" spans="9:39" x14ac:dyDescent="0.3">
      <c r="I5309" s="12"/>
      <c r="N5309" s="12"/>
      <c r="S5309" s="12"/>
      <c r="X5309" s="12"/>
      <c r="AM5309" s="12"/>
    </row>
    <row r="5310" spans="9:39" x14ac:dyDescent="0.3">
      <c r="I5310" s="12"/>
      <c r="N5310" s="12"/>
      <c r="S5310" s="12"/>
      <c r="X5310" s="12"/>
      <c r="AM5310" s="12"/>
    </row>
    <row r="5311" spans="9:39" x14ac:dyDescent="0.3">
      <c r="I5311" s="12"/>
      <c r="N5311" s="12"/>
      <c r="S5311" s="12"/>
      <c r="X5311" s="12"/>
      <c r="AM5311" s="12"/>
    </row>
    <row r="5312" spans="9:39" x14ac:dyDescent="0.3">
      <c r="I5312" s="12"/>
      <c r="N5312" s="12"/>
      <c r="S5312" s="12"/>
      <c r="X5312" s="12"/>
      <c r="AM5312" s="12"/>
    </row>
    <row r="5313" spans="9:39" x14ac:dyDescent="0.3">
      <c r="I5313" s="12"/>
      <c r="N5313" s="12"/>
      <c r="S5313" s="12"/>
      <c r="X5313" s="12"/>
      <c r="AM5313" s="12"/>
    </row>
    <row r="5314" spans="9:39" x14ac:dyDescent="0.3">
      <c r="I5314" s="12"/>
      <c r="N5314" s="12"/>
      <c r="S5314" s="12"/>
      <c r="X5314" s="12"/>
      <c r="AM5314" s="12"/>
    </row>
    <row r="5315" spans="9:39" x14ac:dyDescent="0.3">
      <c r="I5315" s="12"/>
      <c r="N5315" s="12"/>
      <c r="S5315" s="12"/>
      <c r="X5315" s="12"/>
      <c r="AM5315" s="12"/>
    </row>
    <row r="5316" spans="9:39" x14ac:dyDescent="0.3">
      <c r="I5316" s="12"/>
      <c r="N5316" s="12"/>
      <c r="S5316" s="12"/>
      <c r="X5316" s="12"/>
      <c r="AM5316" s="12"/>
    </row>
    <row r="5317" spans="9:39" x14ac:dyDescent="0.3">
      <c r="I5317" s="12"/>
      <c r="N5317" s="12"/>
      <c r="S5317" s="12"/>
      <c r="X5317" s="12"/>
      <c r="AM5317" s="12"/>
    </row>
    <row r="5318" spans="9:39" x14ac:dyDescent="0.3">
      <c r="I5318" s="12"/>
      <c r="N5318" s="12"/>
      <c r="S5318" s="12"/>
      <c r="X5318" s="12"/>
      <c r="AM5318" s="12"/>
    </row>
    <row r="5319" spans="9:39" x14ac:dyDescent="0.3">
      <c r="I5319" s="12"/>
      <c r="N5319" s="12"/>
      <c r="S5319" s="12"/>
      <c r="X5319" s="12"/>
      <c r="AM5319" s="12"/>
    </row>
    <row r="5320" spans="9:39" x14ac:dyDescent="0.3">
      <c r="I5320" s="12"/>
      <c r="N5320" s="12"/>
      <c r="S5320" s="12"/>
      <c r="X5320" s="12"/>
      <c r="AM5320" s="12"/>
    </row>
    <row r="5321" spans="9:39" x14ac:dyDescent="0.3">
      <c r="I5321" s="12"/>
      <c r="N5321" s="12"/>
      <c r="S5321" s="12"/>
      <c r="X5321" s="12"/>
      <c r="AM5321" s="12"/>
    </row>
    <row r="5322" spans="9:39" x14ac:dyDescent="0.3">
      <c r="I5322" s="12"/>
      <c r="N5322" s="12"/>
      <c r="S5322" s="12"/>
      <c r="X5322" s="12"/>
      <c r="AM5322" s="12"/>
    </row>
    <row r="5323" spans="9:39" x14ac:dyDescent="0.3">
      <c r="I5323" s="12"/>
      <c r="N5323" s="12"/>
      <c r="S5323" s="12"/>
      <c r="X5323" s="12"/>
      <c r="AM5323" s="12"/>
    </row>
    <row r="5324" spans="9:39" x14ac:dyDescent="0.3">
      <c r="I5324" s="12"/>
      <c r="N5324" s="12"/>
      <c r="S5324" s="12"/>
      <c r="X5324" s="12"/>
      <c r="AM5324" s="12"/>
    </row>
    <row r="5325" spans="9:39" x14ac:dyDescent="0.3">
      <c r="I5325" s="12"/>
      <c r="N5325" s="12"/>
      <c r="S5325" s="12"/>
      <c r="X5325" s="12"/>
      <c r="AM5325" s="12"/>
    </row>
    <row r="5326" spans="9:39" x14ac:dyDescent="0.3">
      <c r="I5326" s="12"/>
      <c r="N5326" s="12"/>
      <c r="S5326" s="12"/>
      <c r="X5326" s="12"/>
      <c r="AM5326" s="12"/>
    </row>
    <row r="5327" spans="9:39" x14ac:dyDescent="0.3">
      <c r="I5327" s="12"/>
      <c r="N5327" s="12"/>
      <c r="S5327" s="12"/>
      <c r="X5327" s="12"/>
      <c r="AM5327" s="12"/>
    </row>
    <row r="5328" spans="9:39" x14ac:dyDescent="0.3">
      <c r="I5328" s="12"/>
      <c r="N5328" s="12"/>
      <c r="S5328" s="12"/>
      <c r="X5328" s="12"/>
      <c r="AM5328" s="12"/>
    </row>
    <row r="5329" spans="9:39" x14ac:dyDescent="0.3">
      <c r="I5329" s="12"/>
      <c r="N5329" s="12"/>
      <c r="S5329" s="12"/>
      <c r="X5329" s="12"/>
      <c r="AM5329" s="12"/>
    </row>
    <row r="5330" spans="9:39" x14ac:dyDescent="0.3">
      <c r="I5330" s="12"/>
      <c r="N5330" s="12"/>
      <c r="S5330" s="12"/>
      <c r="X5330" s="12"/>
      <c r="AM5330" s="12"/>
    </row>
    <row r="5331" spans="9:39" x14ac:dyDescent="0.3">
      <c r="I5331" s="12"/>
      <c r="N5331" s="12"/>
      <c r="S5331" s="12"/>
      <c r="X5331" s="12"/>
      <c r="AM5331" s="12"/>
    </row>
    <row r="5332" spans="9:39" x14ac:dyDescent="0.3">
      <c r="I5332" s="12"/>
      <c r="N5332" s="12"/>
      <c r="S5332" s="12"/>
      <c r="X5332" s="12"/>
      <c r="AM5332" s="12"/>
    </row>
    <row r="5333" spans="9:39" x14ac:dyDescent="0.3">
      <c r="I5333" s="12"/>
      <c r="N5333" s="12"/>
      <c r="S5333" s="12"/>
      <c r="X5333" s="12"/>
      <c r="AM5333" s="12"/>
    </row>
    <row r="5334" spans="9:39" x14ac:dyDescent="0.3">
      <c r="I5334" s="12"/>
      <c r="N5334" s="12"/>
      <c r="S5334" s="12"/>
      <c r="X5334" s="12"/>
      <c r="AM5334" s="12"/>
    </row>
    <row r="5335" spans="9:39" x14ac:dyDescent="0.3">
      <c r="I5335" s="12"/>
      <c r="N5335" s="12"/>
      <c r="S5335" s="12"/>
      <c r="X5335" s="12"/>
      <c r="AM5335" s="12"/>
    </row>
    <row r="5336" spans="9:39" x14ac:dyDescent="0.3">
      <c r="I5336" s="12"/>
      <c r="N5336" s="12"/>
      <c r="S5336" s="12"/>
      <c r="X5336" s="12"/>
      <c r="AM5336" s="12"/>
    </row>
    <row r="5337" spans="9:39" x14ac:dyDescent="0.3">
      <c r="I5337" s="12"/>
      <c r="N5337" s="12"/>
      <c r="S5337" s="12"/>
      <c r="X5337" s="12"/>
      <c r="AM5337" s="12"/>
    </row>
    <row r="5338" spans="9:39" x14ac:dyDescent="0.3">
      <c r="I5338" s="12"/>
      <c r="N5338" s="12"/>
      <c r="S5338" s="12"/>
      <c r="X5338" s="12"/>
      <c r="AM5338" s="12"/>
    </row>
    <row r="5339" spans="9:39" x14ac:dyDescent="0.3">
      <c r="I5339" s="12"/>
      <c r="N5339" s="12"/>
      <c r="S5339" s="12"/>
      <c r="X5339" s="12"/>
      <c r="AM5339" s="12"/>
    </row>
    <row r="5340" spans="9:39" x14ac:dyDescent="0.3">
      <c r="I5340" s="12"/>
      <c r="N5340" s="12"/>
      <c r="S5340" s="12"/>
      <c r="X5340" s="12"/>
      <c r="AM5340" s="12"/>
    </row>
    <row r="5341" spans="9:39" x14ac:dyDescent="0.3">
      <c r="I5341" s="12"/>
      <c r="N5341" s="12"/>
      <c r="S5341" s="12"/>
      <c r="X5341" s="12"/>
      <c r="AM5341" s="12"/>
    </row>
    <row r="5342" spans="9:39" x14ac:dyDescent="0.3">
      <c r="I5342" s="12"/>
      <c r="N5342" s="12"/>
      <c r="S5342" s="12"/>
      <c r="X5342" s="12"/>
      <c r="AM5342" s="12"/>
    </row>
    <row r="5343" spans="9:39" x14ac:dyDescent="0.3">
      <c r="I5343" s="12"/>
      <c r="N5343" s="12"/>
      <c r="S5343" s="12"/>
      <c r="X5343" s="12"/>
      <c r="AM5343" s="12"/>
    </row>
    <row r="5344" spans="9:39" x14ac:dyDescent="0.3">
      <c r="I5344" s="12"/>
      <c r="N5344" s="12"/>
      <c r="S5344" s="12"/>
      <c r="X5344" s="12"/>
      <c r="AM5344" s="12"/>
    </row>
    <row r="5345" spans="9:39" x14ac:dyDescent="0.3">
      <c r="I5345" s="12"/>
      <c r="N5345" s="12"/>
      <c r="S5345" s="12"/>
      <c r="X5345" s="12"/>
      <c r="AM5345" s="12"/>
    </row>
    <row r="5346" spans="9:39" x14ac:dyDescent="0.3">
      <c r="I5346" s="12"/>
      <c r="N5346" s="12"/>
      <c r="S5346" s="12"/>
      <c r="X5346" s="12"/>
      <c r="AM5346" s="12"/>
    </row>
    <row r="5347" spans="9:39" x14ac:dyDescent="0.3">
      <c r="I5347" s="12"/>
      <c r="N5347" s="12"/>
      <c r="S5347" s="12"/>
      <c r="X5347" s="12"/>
      <c r="AM5347" s="12"/>
    </row>
    <row r="5348" spans="9:39" x14ac:dyDescent="0.3">
      <c r="I5348" s="12"/>
      <c r="N5348" s="12"/>
      <c r="S5348" s="12"/>
      <c r="X5348" s="12"/>
      <c r="AM5348" s="12"/>
    </row>
    <row r="5349" spans="9:39" x14ac:dyDescent="0.3">
      <c r="I5349" s="12"/>
      <c r="N5349" s="12"/>
      <c r="S5349" s="12"/>
      <c r="X5349" s="12"/>
      <c r="AM5349" s="12"/>
    </row>
    <row r="5350" spans="9:39" x14ac:dyDescent="0.3">
      <c r="I5350" s="12"/>
      <c r="N5350" s="12"/>
      <c r="S5350" s="12"/>
      <c r="X5350" s="12"/>
      <c r="AM5350" s="12"/>
    </row>
    <row r="5351" spans="9:39" x14ac:dyDescent="0.3">
      <c r="I5351" s="12"/>
      <c r="N5351" s="12"/>
      <c r="S5351" s="12"/>
      <c r="X5351" s="12"/>
      <c r="AM5351" s="12"/>
    </row>
    <row r="5352" spans="9:39" x14ac:dyDescent="0.3">
      <c r="I5352" s="12"/>
      <c r="N5352" s="12"/>
      <c r="S5352" s="12"/>
      <c r="X5352" s="12"/>
      <c r="AM5352" s="12"/>
    </row>
    <row r="5353" spans="9:39" x14ac:dyDescent="0.3">
      <c r="I5353" s="12"/>
      <c r="N5353" s="12"/>
      <c r="S5353" s="12"/>
      <c r="X5353" s="12"/>
      <c r="AM5353" s="12"/>
    </row>
    <row r="5354" spans="9:39" x14ac:dyDescent="0.3">
      <c r="I5354" s="12"/>
      <c r="N5354" s="12"/>
      <c r="S5354" s="12"/>
      <c r="X5354" s="12"/>
      <c r="AM5354" s="12"/>
    </row>
    <row r="5355" spans="9:39" x14ac:dyDescent="0.3">
      <c r="I5355" s="12"/>
      <c r="N5355" s="12"/>
      <c r="S5355" s="12"/>
      <c r="X5355" s="12"/>
      <c r="AM5355" s="12"/>
    </row>
    <row r="5356" spans="9:39" x14ac:dyDescent="0.3">
      <c r="I5356" s="12"/>
      <c r="N5356" s="12"/>
      <c r="S5356" s="12"/>
      <c r="X5356" s="12"/>
      <c r="AM5356" s="12"/>
    </row>
    <row r="5357" spans="9:39" x14ac:dyDescent="0.3">
      <c r="I5357" s="12"/>
      <c r="N5357" s="12"/>
      <c r="S5357" s="12"/>
      <c r="X5357" s="12"/>
      <c r="AM5357" s="12"/>
    </row>
    <row r="5358" spans="9:39" x14ac:dyDescent="0.3">
      <c r="I5358" s="12"/>
      <c r="N5358" s="12"/>
      <c r="S5358" s="12"/>
      <c r="X5358" s="12"/>
      <c r="AM5358" s="12"/>
    </row>
    <row r="5359" spans="9:39" x14ac:dyDescent="0.3">
      <c r="I5359" s="12"/>
      <c r="N5359" s="12"/>
      <c r="S5359" s="12"/>
      <c r="X5359" s="12"/>
      <c r="AM5359" s="12"/>
    </row>
    <row r="5360" spans="9:39" x14ac:dyDescent="0.3">
      <c r="I5360" s="12"/>
      <c r="N5360" s="12"/>
      <c r="S5360" s="12"/>
      <c r="X5360" s="12"/>
      <c r="AM5360" s="12"/>
    </row>
    <row r="5361" spans="9:39" x14ac:dyDescent="0.3">
      <c r="I5361" s="12"/>
      <c r="N5361" s="12"/>
      <c r="S5361" s="12"/>
      <c r="X5361" s="12"/>
      <c r="AM5361" s="12"/>
    </row>
    <row r="5362" spans="9:39" x14ac:dyDescent="0.3">
      <c r="I5362" s="12"/>
      <c r="N5362" s="12"/>
      <c r="S5362" s="12"/>
      <c r="X5362" s="12"/>
      <c r="AM5362" s="12"/>
    </row>
    <row r="5363" spans="9:39" x14ac:dyDescent="0.3">
      <c r="I5363" s="12"/>
      <c r="N5363" s="12"/>
      <c r="S5363" s="12"/>
      <c r="X5363" s="12"/>
      <c r="AM5363" s="12"/>
    </row>
    <row r="5364" spans="9:39" x14ac:dyDescent="0.3">
      <c r="I5364" s="12"/>
      <c r="N5364" s="12"/>
      <c r="S5364" s="12"/>
      <c r="X5364" s="12"/>
      <c r="AM5364" s="12"/>
    </row>
    <row r="5365" spans="9:39" x14ac:dyDescent="0.3">
      <c r="I5365" s="12"/>
      <c r="N5365" s="12"/>
      <c r="S5365" s="12"/>
      <c r="X5365" s="12"/>
      <c r="AM5365" s="12"/>
    </row>
    <row r="5366" spans="9:39" x14ac:dyDescent="0.3">
      <c r="I5366" s="12"/>
      <c r="N5366" s="12"/>
      <c r="S5366" s="12"/>
      <c r="X5366" s="12"/>
      <c r="AM5366" s="12"/>
    </row>
    <row r="5367" spans="9:39" x14ac:dyDescent="0.3">
      <c r="I5367" s="12"/>
      <c r="N5367" s="12"/>
      <c r="S5367" s="12"/>
      <c r="X5367" s="12"/>
      <c r="AM5367" s="12"/>
    </row>
    <row r="5368" spans="9:39" x14ac:dyDescent="0.3">
      <c r="I5368" s="12"/>
      <c r="N5368" s="12"/>
      <c r="S5368" s="12"/>
      <c r="X5368" s="12"/>
      <c r="AM5368" s="12"/>
    </row>
    <row r="5369" spans="9:39" x14ac:dyDescent="0.3">
      <c r="I5369" s="12"/>
      <c r="N5369" s="12"/>
      <c r="S5369" s="12"/>
      <c r="X5369" s="12"/>
      <c r="AM5369" s="12"/>
    </row>
    <row r="5370" spans="9:39" x14ac:dyDescent="0.3">
      <c r="I5370" s="12"/>
      <c r="N5370" s="12"/>
      <c r="S5370" s="12"/>
      <c r="X5370" s="12"/>
      <c r="AM5370" s="12"/>
    </row>
    <row r="5371" spans="9:39" x14ac:dyDescent="0.3">
      <c r="I5371" s="12"/>
      <c r="N5371" s="12"/>
      <c r="S5371" s="12"/>
      <c r="X5371" s="12"/>
      <c r="AM5371" s="12"/>
    </row>
    <row r="5372" spans="9:39" x14ac:dyDescent="0.3">
      <c r="I5372" s="12"/>
      <c r="N5372" s="12"/>
      <c r="S5372" s="12"/>
      <c r="X5372" s="12"/>
      <c r="AM5372" s="12"/>
    </row>
    <row r="5373" spans="9:39" x14ac:dyDescent="0.3">
      <c r="I5373" s="12"/>
      <c r="N5373" s="12"/>
      <c r="S5373" s="12"/>
      <c r="X5373" s="12"/>
      <c r="AM5373" s="12"/>
    </row>
    <row r="5374" spans="9:39" x14ac:dyDescent="0.3">
      <c r="I5374" s="12"/>
      <c r="N5374" s="12"/>
      <c r="S5374" s="12"/>
      <c r="X5374" s="12"/>
      <c r="AM5374" s="12"/>
    </row>
    <row r="5375" spans="9:39" x14ac:dyDescent="0.3">
      <c r="I5375" s="12"/>
      <c r="N5375" s="12"/>
      <c r="S5375" s="12"/>
      <c r="X5375" s="12"/>
      <c r="AM5375" s="12"/>
    </row>
    <row r="5376" spans="9:39" x14ac:dyDescent="0.3">
      <c r="I5376" s="12"/>
      <c r="N5376" s="12"/>
      <c r="S5376" s="12"/>
      <c r="X5376" s="12"/>
      <c r="AM5376" s="12"/>
    </row>
    <row r="5377" spans="9:39" x14ac:dyDescent="0.3">
      <c r="I5377" s="12"/>
      <c r="N5377" s="12"/>
      <c r="S5377" s="12"/>
      <c r="X5377" s="12"/>
      <c r="AM5377" s="12"/>
    </row>
    <row r="5378" spans="9:39" x14ac:dyDescent="0.3">
      <c r="I5378" s="12"/>
      <c r="N5378" s="12"/>
      <c r="S5378" s="12"/>
      <c r="X5378" s="12"/>
      <c r="AM5378" s="12"/>
    </row>
    <row r="5379" spans="9:39" x14ac:dyDescent="0.3">
      <c r="I5379" s="12"/>
      <c r="N5379" s="12"/>
      <c r="S5379" s="12"/>
      <c r="X5379" s="12"/>
      <c r="AM5379" s="12"/>
    </row>
    <row r="5380" spans="9:39" x14ac:dyDescent="0.3">
      <c r="I5380" s="12"/>
      <c r="N5380" s="12"/>
      <c r="S5380" s="12"/>
      <c r="X5380" s="12"/>
      <c r="AM5380" s="12"/>
    </row>
    <row r="5381" spans="9:39" x14ac:dyDescent="0.3">
      <c r="I5381" s="12"/>
      <c r="N5381" s="12"/>
      <c r="S5381" s="12"/>
      <c r="X5381" s="12"/>
      <c r="AM5381" s="12"/>
    </row>
    <row r="5382" spans="9:39" x14ac:dyDescent="0.3">
      <c r="I5382" s="12"/>
      <c r="N5382" s="12"/>
      <c r="S5382" s="12"/>
      <c r="X5382" s="12"/>
      <c r="AM5382" s="12"/>
    </row>
    <row r="5383" spans="9:39" x14ac:dyDescent="0.3">
      <c r="I5383" s="12"/>
      <c r="N5383" s="12"/>
      <c r="S5383" s="12"/>
      <c r="X5383" s="12"/>
      <c r="AM5383" s="12"/>
    </row>
    <row r="5384" spans="9:39" x14ac:dyDescent="0.3">
      <c r="I5384" s="12"/>
      <c r="N5384" s="12"/>
      <c r="S5384" s="12"/>
      <c r="X5384" s="12"/>
      <c r="AM5384" s="12"/>
    </row>
    <row r="5385" spans="9:39" x14ac:dyDescent="0.3">
      <c r="I5385" s="12"/>
      <c r="N5385" s="12"/>
      <c r="S5385" s="12"/>
      <c r="X5385" s="12"/>
      <c r="AM5385" s="12"/>
    </row>
    <row r="5386" spans="9:39" x14ac:dyDescent="0.3">
      <c r="I5386" s="12"/>
      <c r="N5386" s="12"/>
      <c r="S5386" s="12"/>
      <c r="X5386" s="12"/>
      <c r="AM5386" s="12"/>
    </row>
    <row r="5387" spans="9:39" x14ac:dyDescent="0.3">
      <c r="I5387" s="12"/>
      <c r="N5387" s="12"/>
      <c r="S5387" s="12"/>
      <c r="X5387" s="12"/>
      <c r="AM5387" s="12"/>
    </row>
    <row r="5388" spans="9:39" x14ac:dyDescent="0.3">
      <c r="I5388" s="12"/>
      <c r="N5388" s="12"/>
      <c r="S5388" s="12"/>
      <c r="X5388" s="12"/>
      <c r="AM5388" s="12"/>
    </row>
    <row r="5389" spans="9:39" x14ac:dyDescent="0.3">
      <c r="I5389" s="12"/>
      <c r="N5389" s="12"/>
      <c r="S5389" s="12"/>
      <c r="X5389" s="12"/>
      <c r="AM5389" s="12"/>
    </row>
    <row r="5390" spans="9:39" x14ac:dyDescent="0.3">
      <c r="I5390" s="12"/>
      <c r="N5390" s="12"/>
      <c r="S5390" s="12"/>
      <c r="X5390" s="12"/>
      <c r="AM5390" s="12"/>
    </row>
    <row r="5391" spans="9:39" x14ac:dyDescent="0.3">
      <c r="I5391" s="12"/>
      <c r="N5391" s="12"/>
      <c r="S5391" s="12"/>
      <c r="X5391" s="12"/>
      <c r="AM5391" s="12"/>
    </row>
    <row r="5392" spans="9:39" x14ac:dyDescent="0.3">
      <c r="I5392" s="12"/>
      <c r="N5392" s="12"/>
      <c r="S5392" s="12"/>
      <c r="X5392" s="12"/>
      <c r="AM5392" s="12"/>
    </row>
    <row r="5393" spans="9:39" x14ac:dyDescent="0.3">
      <c r="I5393" s="12"/>
      <c r="N5393" s="12"/>
      <c r="S5393" s="12"/>
      <c r="X5393" s="12"/>
      <c r="AM5393" s="12"/>
    </row>
    <row r="5394" spans="9:39" x14ac:dyDescent="0.3">
      <c r="I5394" s="12"/>
      <c r="N5394" s="12"/>
      <c r="S5394" s="12"/>
      <c r="X5394" s="12"/>
      <c r="AM5394" s="12"/>
    </row>
    <row r="5395" spans="9:39" x14ac:dyDescent="0.3">
      <c r="I5395" s="12"/>
      <c r="N5395" s="12"/>
      <c r="S5395" s="12"/>
      <c r="X5395" s="12"/>
      <c r="AM5395" s="12"/>
    </row>
    <row r="5396" spans="9:39" x14ac:dyDescent="0.3">
      <c r="I5396" s="12"/>
      <c r="N5396" s="12"/>
      <c r="S5396" s="12"/>
      <c r="X5396" s="12"/>
      <c r="AM5396" s="12"/>
    </row>
    <row r="5397" spans="9:39" x14ac:dyDescent="0.3">
      <c r="I5397" s="12"/>
      <c r="N5397" s="12"/>
      <c r="S5397" s="12"/>
      <c r="X5397" s="12"/>
      <c r="AM5397" s="12"/>
    </row>
    <row r="5398" spans="9:39" x14ac:dyDescent="0.3">
      <c r="I5398" s="12"/>
      <c r="N5398" s="12"/>
      <c r="S5398" s="12"/>
      <c r="X5398" s="12"/>
      <c r="AM5398" s="12"/>
    </row>
    <row r="5399" spans="9:39" x14ac:dyDescent="0.3">
      <c r="I5399" s="12"/>
      <c r="N5399" s="12"/>
      <c r="S5399" s="12"/>
      <c r="X5399" s="12"/>
      <c r="AM5399" s="12"/>
    </row>
    <row r="5400" spans="9:39" x14ac:dyDescent="0.3">
      <c r="I5400" s="12"/>
      <c r="N5400" s="12"/>
      <c r="S5400" s="12"/>
      <c r="X5400" s="12"/>
      <c r="AM5400" s="12"/>
    </row>
    <row r="5401" spans="9:39" x14ac:dyDescent="0.3">
      <c r="I5401" s="12"/>
      <c r="N5401" s="12"/>
      <c r="S5401" s="12"/>
      <c r="X5401" s="12"/>
      <c r="AM5401" s="12"/>
    </row>
    <row r="5402" spans="9:39" x14ac:dyDescent="0.3">
      <c r="I5402" s="12"/>
      <c r="N5402" s="12"/>
      <c r="S5402" s="12"/>
      <c r="X5402" s="12"/>
      <c r="AM5402" s="12"/>
    </row>
    <row r="5403" spans="9:39" x14ac:dyDescent="0.3">
      <c r="I5403" s="12"/>
      <c r="N5403" s="12"/>
      <c r="S5403" s="12"/>
      <c r="X5403" s="12"/>
      <c r="AM5403" s="12"/>
    </row>
    <row r="5404" spans="9:39" x14ac:dyDescent="0.3">
      <c r="I5404" s="12"/>
      <c r="N5404" s="12"/>
      <c r="S5404" s="12"/>
      <c r="X5404" s="12"/>
      <c r="AM5404" s="12"/>
    </row>
    <row r="5405" spans="9:39" x14ac:dyDescent="0.3">
      <c r="I5405" s="12"/>
      <c r="N5405" s="12"/>
      <c r="S5405" s="12"/>
      <c r="X5405" s="12"/>
      <c r="AM5405" s="12"/>
    </row>
    <row r="5406" spans="9:39" x14ac:dyDescent="0.3">
      <c r="I5406" s="12"/>
      <c r="N5406" s="12"/>
      <c r="S5406" s="12"/>
      <c r="X5406" s="12"/>
      <c r="AM5406" s="12"/>
    </row>
    <row r="5407" spans="9:39" x14ac:dyDescent="0.3">
      <c r="I5407" s="12"/>
      <c r="N5407" s="12"/>
      <c r="S5407" s="12"/>
      <c r="X5407" s="12"/>
      <c r="AM5407" s="12"/>
    </row>
    <row r="5408" spans="9:39" x14ac:dyDescent="0.3">
      <c r="I5408" s="12"/>
      <c r="N5408" s="12"/>
      <c r="S5408" s="12"/>
      <c r="X5408" s="12"/>
      <c r="AM5408" s="12"/>
    </row>
    <row r="5409" spans="9:39" x14ac:dyDescent="0.3">
      <c r="I5409" s="12"/>
      <c r="N5409" s="12"/>
      <c r="S5409" s="12"/>
      <c r="X5409" s="12"/>
      <c r="AM5409" s="12"/>
    </row>
    <row r="5410" spans="9:39" x14ac:dyDescent="0.3">
      <c r="I5410" s="12"/>
      <c r="N5410" s="12"/>
      <c r="S5410" s="12"/>
      <c r="X5410" s="12"/>
      <c r="AM5410" s="12"/>
    </row>
    <row r="5411" spans="9:39" x14ac:dyDescent="0.3">
      <c r="I5411" s="12"/>
      <c r="N5411" s="12"/>
      <c r="S5411" s="12"/>
      <c r="X5411" s="12"/>
      <c r="AM5411" s="12"/>
    </row>
    <row r="5412" spans="9:39" x14ac:dyDescent="0.3">
      <c r="I5412" s="12"/>
      <c r="N5412" s="12"/>
      <c r="S5412" s="12"/>
      <c r="X5412" s="12"/>
      <c r="AM5412" s="12"/>
    </row>
    <row r="5413" spans="9:39" x14ac:dyDescent="0.3">
      <c r="I5413" s="12"/>
      <c r="N5413" s="12"/>
      <c r="S5413" s="12"/>
      <c r="X5413" s="12"/>
      <c r="AM5413" s="12"/>
    </row>
    <row r="5414" spans="9:39" x14ac:dyDescent="0.3">
      <c r="I5414" s="12"/>
      <c r="N5414" s="12"/>
      <c r="S5414" s="12"/>
      <c r="X5414" s="12"/>
      <c r="AM5414" s="12"/>
    </row>
    <row r="5415" spans="9:39" x14ac:dyDescent="0.3">
      <c r="I5415" s="12"/>
      <c r="N5415" s="12"/>
      <c r="S5415" s="12"/>
      <c r="X5415" s="12"/>
      <c r="AM5415" s="12"/>
    </row>
    <row r="5416" spans="9:39" x14ac:dyDescent="0.3">
      <c r="I5416" s="12"/>
      <c r="N5416" s="12"/>
      <c r="S5416" s="12"/>
      <c r="X5416" s="12"/>
      <c r="AM5416" s="12"/>
    </row>
    <row r="5417" spans="9:39" x14ac:dyDescent="0.3">
      <c r="I5417" s="12"/>
      <c r="N5417" s="12"/>
      <c r="S5417" s="12"/>
      <c r="X5417" s="12"/>
      <c r="AM5417" s="12"/>
    </row>
    <row r="5418" spans="9:39" x14ac:dyDescent="0.3">
      <c r="I5418" s="12"/>
      <c r="N5418" s="12"/>
      <c r="S5418" s="12"/>
      <c r="X5418" s="12"/>
      <c r="AM5418" s="12"/>
    </row>
    <row r="5419" spans="9:39" x14ac:dyDescent="0.3">
      <c r="I5419" s="12"/>
      <c r="N5419" s="12"/>
      <c r="S5419" s="12"/>
      <c r="X5419" s="12"/>
      <c r="AM5419" s="12"/>
    </row>
    <row r="5420" spans="9:39" x14ac:dyDescent="0.3">
      <c r="I5420" s="12"/>
      <c r="N5420" s="12"/>
      <c r="S5420" s="12"/>
      <c r="X5420" s="12"/>
      <c r="AM5420" s="12"/>
    </row>
    <row r="5421" spans="9:39" x14ac:dyDescent="0.3">
      <c r="I5421" s="12"/>
      <c r="N5421" s="12"/>
      <c r="S5421" s="12"/>
      <c r="X5421" s="12"/>
      <c r="AM5421" s="12"/>
    </row>
    <row r="5422" spans="9:39" x14ac:dyDescent="0.3">
      <c r="I5422" s="12"/>
      <c r="N5422" s="12"/>
      <c r="S5422" s="12"/>
      <c r="X5422" s="12"/>
      <c r="AM5422" s="12"/>
    </row>
    <row r="5423" spans="9:39" x14ac:dyDescent="0.3">
      <c r="I5423" s="12"/>
      <c r="N5423" s="12"/>
      <c r="S5423" s="12"/>
      <c r="X5423" s="12"/>
      <c r="AM5423" s="12"/>
    </row>
    <row r="5424" spans="9:39" x14ac:dyDescent="0.3">
      <c r="I5424" s="12"/>
      <c r="N5424" s="12"/>
      <c r="S5424" s="12"/>
      <c r="X5424" s="12"/>
      <c r="AM5424" s="12"/>
    </row>
    <row r="5425" spans="9:39" x14ac:dyDescent="0.3">
      <c r="I5425" s="12"/>
      <c r="N5425" s="12"/>
      <c r="S5425" s="12"/>
      <c r="X5425" s="12"/>
      <c r="AM5425" s="12"/>
    </row>
    <row r="5426" spans="9:39" x14ac:dyDescent="0.3">
      <c r="I5426" s="12"/>
      <c r="N5426" s="12"/>
      <c r="S5426" s="12"/>
      <c r="X5426" s="12"/>
      <c r="AM5426" s="12"/>
    </row>
    <row r="5427" spans="9:39" x14ac:dyDescent="0.3">
      <c r="I5427" s="12"/>
      <c r="N5427" s="12"/>
      <c r="S5427" s="12"/>
      <c r="X5427" s="12"/>
      <c r="AM5427" s="12"/>
    </row>
    <row r="5428" spans="9:39" x14ac:dyDescent="0.3">
      <c r="I5428" s="12"/>
      <c r="N5428" s="12"/>
      <c r="S5428" s="12"/>
      <c r="X5428" s="12"/>
      <c r="AM5428" s="12"/>
    </row>
    <row r="5429" spans="9:39" x14ac:dyDescent="0.3">
      <c r="I5429" s="12"/>
      <c r="N5429" s="12"/>
      <c r="S5429" s="12"/>
      <c r="X5429" s="12"/>
      <c r="AM5429" s="12"/>
    </row>
    <row r="5430" spans="9:39" x14ac:dyDescent="0.3">
      <c r="I5430" s="12"/>
      <c r="N5430" s="12"/>
      <c r="S5430" s="12"/>
      <c r="X5430" s="12"/>
      <c r="AM5430" s="12"/>
    </row>
    <row r="5431" spans="9:39" x14ac:dyDescent="0.3">
      <c r="I5431" s="12"/>
      <c r="N5431" s="12"/>
      <c r="S5431" s="12"/>
      <c r="X5431" s="12"/>
      <c r="AM5431" s="12"/>
    </row>
    <row r="5432" spans="9:39" x14ac:dyDescent="0.3">
      <c r="I5432" s="12"/>
      <c r="N5432" s="12"/>
      <c r="S5432" s="12"/>
      <c r="X5432" s="12"/>
      <c r="AM5432" s="12"/>
    </row>
    <row r="5433" spans="9:39" x14ac:dyDescent="0.3">
      <c r="I5433" s="12"/>
      <c r="N5433" s="12"/>
      <c r="S5433" s="12"/>
      <c r="X5433" s="12"/>
      <c r="AM5433" s="12"/>
    </row>
    <row r="5434" spans="9:39" x14ac:dyDescent="0.3">
      <c r="I5434" s="12"/>
      <c r="N5434" s="12"/>
      <c r="S5434" s="12"/>
      <c r="X5434" s="12"/>
      <c r="AM5434" s="12"/>
    </row>
    <row r="5435" spans="9:39" x14ac:dyDescent="0.3">
      <c r="I5435" s="12"/>
      <c r="N5435" s="12"/>
      <c r="S5435" s="12"/>
      <c r="X5435" s="12"/>
      <c r="AM5435" s="12"/>
    </row>
    <row r="5436" spans="9:39" x14ac:dyDescent="0.3">
      <c r="I5436" s="12"/>
      <c r="N5436" s="12"/>
      <c r="S5436" s="12"/>
      <c r="X5436" s="12"/>
      <c r="AM5436" s="12"/>
    </row>
    <row r="5437" spans="9:39" x14ac:dyDescent="0.3">
      <c r="I5437" s="12"/>
      <c r="N5437" s="12"/>
      <c r="S5437" s="12"/>
      <c r="X5437" s="12"/>
      <c r="AM5437" s="12"/>
    </row>
    <row r="5438" spans="9:39" x14ac:dyDescent="0.3">
      <c r="I5438" s="12"/>
      <c r="N5438" s="12"/>
      <c r="S5438" s="12"/>
      <c r="X5438" s="12"/>
      <c r="AM5438" s="12"/>
    </row>
    <row r="5439" spans="9:39" x14ac:dyDescent="0.3">
      <c r="I5439" s="12"/>
      <c r="N5439" s="12"/>
      <c r="S5439" s="12"/>
      <c r="X5439" s="12"/>
      <c r="AM5439" s="12"/>
    </row>
    <row r="5440" spans="9:39" x14ac:dyDescent="0.3">
      <c r="I5440" s="12"/>
      <c r="N5440" s="12"/>
      <c r="S5440" s="12"/>
      <c r="X5440" s="12"/>
      <c r="AM5440" s="12"/>
    </row>
    <row r="5441" spans="9:39" x14ac:dyDescent="0.3">
      <c r="I5441" s="12"/>
      <c r="N5441" s="12"/>
      <c r="S5441" s="12"/>
      <c r="X5441" s="12"/>
      <c r="AM5441" s="12"/>
    </row>
    <row r="5442" spans="9:39" x14ac:dyDescent="0.3">
      <c r="I5442" s="12"/>
      <c r="N5442" s="12"/>
      <c r="S5442" s="12"/>
      <c r="X5442" s="12"/>
      <c r="AM5442" s="12"/>
    </row>
    <row r="5443" spans="9:39" x14ac:dyDescent="0.3">
      <c r="I5443" s="12"/>
      <c r="N5443" s="12"/>
      <c r="S5443" s="12"/>
      <c r="X5443" s="12"/>
      <c r="AM5443" s="12"/>
    </row>
    <row r="5444" spans="9:39" x14ac:dyDescent="0.3">
      <c r="I5444" s="12"/>
      <c r="N5444" s="12"/>
      <c r="S5444" s="12"/>
      <c r="X5444" s="12"/>
      <c r="AM5444" s="12"/>
    </row>
    <row r="5445" spans="9:39" x14ac:dyDescent="0.3">
      <c r="I5445" s="12"/>
      <c r="N5445" s="12"/>
      <c r="S5445" s="12"/>
      <c r="X5445" s="12"/>
      <c r="AM5445" s="12"/>
    </row>
    <row r="5446" spans="9:39" x14ac:dyDescent="0.3">
      <c r="I5446" s="12"/>
      <c r="N5446" s="12"/>
      <c r="S5446" s="12"/>
      <c r="X5446" s="12"/>
      <c r="AM5446" s="12"/>
    </row>
    <row r="5447" spans="9:39" x14ac:dyDescent="0.3">
      <c r="I5447" s="12"/>
      <c r="N5447" s="12"/>
      <c r="S5447" s="12"/>
      <c r="X5447" s="12"/>
      <c r="AM5447" s="12"/>
    </row>
    <row r="5448" spans="9:39" x14ac:dyDescent="0.3">
      <c r="I5448" s="12"/>
      <c r="N5448" s="12"/>
      <c r="S5448" s="12"/>
      <c r="X5448" s="12"/>
      <c r="AM5448" s="12"/>
    </row>
    <row r="5449" spans="9:39" x14ac:dyDescent="0.3">
      <c r="I5449" s="12"/>
      <c r="N5449" s="12"/>
      <c r="S5449" s="12"/>
      <c r="X5449" s="12"/>
      <c r="AM5449" s="12"/>
    </row>
    <row r="5450" spans="9:39" x14ac:dyDescent="0.3">
      <c r="I5450" s="12"/>
      <c r="N5450" s="12"/>
      <c r="S5450" s="12"/>
      <c r="X5450" s="12"/>
      <c r="AM5450" s="12"/>
    </row>
    <row r="5451" spans="9:39" x14ac:dyDescent="0.3">
      <c r="I5451" s="12"/>
      <c r="N5451" s="12"/>
      <c r="S5451" s="12"/>
      <c r="X5451" s="12"/>
      <c r="AM5451" s="12"/>
    </row>
    <row r="5452" spans="9:39" x14ac:dyDescent="0.3">
      <c r="I5452" s="12"/>
      <c r="N5452" s="12"/>
      <c r="S5452" s="12"/>
      <c r="X5452" s="12"/>
      <c r="AM5452" s="12"/>
    </row>
    <row r="5453" spans="9:39" x14ac:dyDescent="0.3">
      <c r="I5453" s="12"/>
      <c r="N5453" s="12"/>
      <c r="S5453" s="12"/>
      <c r="X5453" s="12"/>
      <c r="AM5453" s="12"/>
    </row>
    <row r="5454" spans="9:39" x14ac:dyDescent="0.3">
      <c r="I5454" s="12"/>
      <c r="N5454" s="12"/>
      <c r="S5454" s="12"/>
      <c r="X5454" s="12"/>
      <c r="AM5454" s="12"/>
    </row>
    <row r="5455" spans="9:39" x14ac:dyDescent="0.3">
      <c r="I5455" s="12"/>
      <c r="N5455" s="12"/>
      <c r="S5455" s="12"/>
      <c r="X5455" s="12"/>
      <c r="AM5455" s="12"/>
    </row>
    <row r="5456" spans="9:39" x14ac:dyDescent="0.3">
      <c r="I5456" s="12"/>
      <c r="N5456" s="12"/>
      <c r="S5456" s="12"/>
      <c r="X5456" s="12"/>
      <c r="AM5456" s="12"/>
    </row>
    <row r="5457" spans="9:39" x14ac:dyDescent="0.3">
      <c r="I5457" s="12"/>
      <c r="N5457" s="12"/>
      <c r="S5457" s="12"/>
      <c r="X5457" s="12"/>
      <c r="AM5457" s="12"/>
    </row>
    <row r="5458" spans="9:39" x14ac:dyDescent="0.3">
      <c r="I5458" s="12"/>
      <c r="N5458" s="12"/>
      <c r="S5458" s="12"/>
      <c r="X5458" s="12"/>
      <c r="AM5458" s="12"/>
    </row>
    <row r="5459" spans="9:39" x14ac:dyDescent="0.3">
      <c r="I5459" s="12"/>
      <c r="N5459" s="12"/>
      <c r="S5459" s="12"/>
      <c r="X5459" s="12"/>
      <c r="AM5459" s="12"/>
    </row>
    <row r="5460" spans="9:39" x14ac:dyDescent="0.3">
      <c r="I5460" s="12"/>
      <c r="N5460" s="12"/>
      <c r="S5460" s="12"/>
      <c r="X5460" s="12"/>
      <c r="AM5460" s="12"/>
    </row>
    <row r="5461" spans="9:39" x14ac:dyDescent="0.3">
      <c r="I5461" s="12"/>
      <c r="N5461" s="12"/>
      <c r="S5461" s="12"/>
      <c r="X5461" s="12"/>
      <c r="AM5461" s="12"/>
    </row>
    <row r="5462" spans="9:39" x14ac:dyDescent="0.3">
      <c r="I5462" s="12"/>
      <c r="N5462" s="12"/>
      <c r="S5462" s="12"/>
      <c r="X5462" s="12"/>
      <c r="AM5462" s="12"/>
    </row>
    <row r="5463" spans="9:39" x14ac:dyDescent="0.3">
      <c r="I5463" s="12"/>
      <c r="N5463" s="12"/>
      <c r="S5463" s="12"/>
      <c r="X5463" s="12"/>
      <c r="AM5463" s="12"/>
    </row>
    <row r="5464" spans="9:39" x14ac:dyDescent="0.3">
      <c r="I5464" s="12"/>
      <c r="N5464" s="12"/>
      <c r="S5464" s="12"/>
      <c r="X5464" s="12"/>
      <c r="AM5464" s="12"/>
    </row>
    <row r="5465" spans="9:39" x14ac:dyDescent="0.3">
      <c r="I5465" s="12"/>
      <c r="N5465" s="12"/>
      <c r="S5465" s="12"/>
      <c r="X5465" s="12"/>
      <c r="AM5465" s="12"/>
    </row>
    <row r="5466" spans="9:39" x14ac:dyDescent="0.3">
      <c r="I5466" s="12"/>
      <c r="N5466" s="12"/>
      <c r="S5466" s="12"/>
      <c r="X5466" s="12"/>
      <c r="AM5466" s="12"/>
    </row>
    <row r="5467" spans="9:39" x14ac:dyDescent="0.3">
      <c r="I5467" s="12"/>
      <c r="N5467" s="12"/>
      <c r="S5467" s="12"/>
      <c r="X5467" s="12"/>
      <c r="AM5467" s="12"/>
    </row>
    <row r="5468" spans="9:39" x14ac:dyDescent="0.3">
      <c r="I5468" s="12"/>
      <c r="N5468" s="12"/>
      <c r="S5468" s="12"/>
      <c r="X5468" s="12"/>
      <c r="AM5468" s="12"/>
    </row>
    <row r="5469" spans="9:39" x14ac:dyDescent="0.3">
      <c r="I5469" s="12"/>
      <c r="N5469" s="12"/>
      <c r="S5469" s="12"/>
      <c r="X5469" s="12"/>
      <c r="AM5469" s="12"/>
    </row>
    <row r="5470" spans="9:39" x14ac:dyDescent="0.3">
      <c r="I5470" s="12"/>
      <c r="N5470" s="12"/>
      <c r="S5470" s="12"/>
      <c r="X5470" s="12"/>
      <c r="AM5470" s="12"/>
    </row>
    <row r="5471" spans="9:39" x14ac:dyDescent="0.3">
      <c r="I5471" s="12"/>
      <c r="N5471" s="12"/>
      <c r="S5471" s="12"/>
      <c r="X5471" s="12"/>
      <c r="AM5471" s="12"/>
    </row>
    <row r="5472" spans="9:39" x14ac:dyDescent="0.3">
      <c r="I5472" s="12"/>
      <c r="N5472" s="12"/>
      <c r="S5472" s="12"/>
      <c r="X5472" s="12"/>
      <c r="AM5472" s="12"/>
    </row>
    <row r="5473" spans="9:39" x14ac:dyDescent="0.3">
      <c r="I5473" s="12"/>
      <c r="N5473" s="12"/>
      <c r="S5473" s="12"/>
      <c r="X5473" s="12"/>
      <c r="AM5473" s="12"/>
    </row>
    <row r="5474" spans="9:39" x14ac:dyDescent="0.3">
      <c r="I5474" s="12"/>
      <c r="N5474" s="12"/>
      <c r="S5474" s="12"/>
      <c r="X5474" s="12"/>
      <c r="AM5474" s="12"/>
    </row>
    <row r="5475" spans="9:39" x14ac:dyDescent="0.3">
      <c r="I5475" s="12"/>
      <c r="N5475" s="12"/>
      <c r="S5475" s="12"/>
      <c r="X5475" s="12"/>
      <c r="AM5475" s="12"/>
    </row>
    <row r="5476" spans="9:39" x14ac:dyDescent="0.3">
      <c r="I5476" s="12"/>
      <c r="N5476" s="12"/>
      <c r="S5476" s="12"/>
      <c r="X5476" s="12"/>
      <c r="AM5476" s="12"/>
    </row>
    <row r="5477" spans="9:39" x14ac:dyDescent="0.3">
      <c r="I5477" s="12"/>
      <c r="N5477" s="12"/>
      <c r="S5477" s="12"/>
      <c r="X5477" s="12"/>
      <c r="AM5477" s="12"/>
    </row>
    <row r="5478" spans="9:39" x14ac:dyDescent="0.3">
      <c r="I5478" s="12"/>
      <c r="N5478" s="12"/>
      <c r="S5478" s="12"/>
      <c r="X5478" s="12"/>
      <c r="AM5478" s="12"/>
    </row>
    <row r="5479" spans="9:39" x14ac:dyDescent="0.3">
      <c r="I5479" s="12"/>
      <c r="N5479" s="12"/>
      <c r="S5479" s="12"/>
      <c r="X5479" s="12"/>
      <c r="AM5479" s="12"/>
    </row>
    <row r="5480" spans="9:39" x14ac:dyDescent="0.3">
      <c r="I5480" s="12"/>
      <c r="N5480" s="12"/>
      <c r="S5480" s="12"/>
      <c r="X5480" s="12"/>
      <c r="AM5480" s="12"/>
    </row>
    <row r="5481" spans="9:39" x14ac:dyDescent="0.3">
      <c r="I5481" s="12"/>
      <c r="N5481" s="12"/>
      <c r="S5481" s="12"/>
      <c r="X5481" s="12"/>
      <c r="AM5481" s="12"/>
    </row>
    <row r="5482" spans="9:39" x14ac:dyDescent="0.3">
      <c r="I5482" s="12"/>
      <c r="N5482" s="12"/>
      <c r="S5482" s="12"/>
      <c r="X5482" s="12"/>
      <c r="AM5482" s="12"/>
    </row>
    <row r="5483" spans="9:39" x14ac:dyDescent="0.3">
      <c r="I5483" s="12"/>
      <c r="N5483" s="12"/>
      <c r="S5483" s="12"/>
      <c r="X5483" s="12"/>
      <c r="AM5483" s="12"/>
    </row>
    <row r="5484" spans="9:39" x14ac:dyDescent="0.3">
      <c r="I5484" s="12"/>
      <c r="N5484" s="12"/>
      <c r="S5484" s="12"/>
      <c r="X5484" s="12"/>
      <c r="AM5484" s="12"/>
    </row>
    <row r="5485" spans="9:39" x14ac:dyDescent="0.3">
      <c r="I5485" s="12"/>
      <c r="N5485" s="12"/>
      <c r="S5485" s="12"/>
      <c r="X5485" s="12"/>
      <c r="AM5485" s="12"/>
    </row>
    <row r="5486" spans="9:39" x14ac:dyDescent="0.3">
      <c r="I5486" s="12"/>
      <c r="N5486" s="12"/>
      <c r="S5486" s="12"/>
      <c r="X5486" s="12"/>
      <c r="AM5486" s="12"/>
    </row>
    <row r="5487" spans="9:39" x14ac:dyDescent="0.3">
      <c r="I5487" s="12"/>
      <c r="N5487" s="12"/>
      <c r="S5487" s="12"/>
      <c r="X5487" s="12"/>
      <c r="AM5487" s="12"/>
    </row>
    <row r="5488" spans="9:39" x14ac:dyDescent="0.3">
      <c r="I5488" s="12"/>
      <c r="N5488" s="12"/>
      <c r="S5488" s="12"/>
      <c r="X5488" s="12"/>
      <c r="AM5488" s="12"/>
    </row>
    <row r="5489" spans="9:39" x14ac:dyDescent="0.3">
      <c r="I5489" s="12"/>
      <c r="N5489" s="12"/>
      <c r="S5489" s="12"/>
      <c r="X5489" s="12"/>
      <c r="AM5489" s="12"/>
    </row>
    <row r="5490" spans="9:39" x14ac:dyDescent="0.3">
      <c r="I5490" s="12"/>
      <c r="N5490" s="12"/>
      <c r="S5490" s="12"/>
      <c r="X5490" s="12"/>
      <c r="AM5490" s="12"/>
    </row>
    <row r="5491" spans="9:39" x14ac:dyDescent="0.3">
      <c r="I5491" s="12"/>
      <c r="N5491" s="12"/>
      <c r="S5491" s="12"/>
      <c r="X5491" s="12"/>
      <c r="AM5491" s="12"/>
    </row>
    <row r="5492" spans="9:39" x14ac:dyDescent="0.3">
      <c r="I5492" s="12"/>
      <c r="N5492" s="12"/>
      <c r="S5492" s="12"/>
      <c r="X5492" s="12"/>
      <c r="AM5492" s="12"/>
    </row>
    <row r="5493" spans="9:39" x14ac:dyDescent="0.3">
      <c r="I5493" s="12"/>
      <c r="N5493" s="12"/>
      <c r="S5493" s="12"/>
      <c r="X5493" s="12"/>
      <c r="AM5493" s="12"/>
    </row>
    <row r="5494" spans="9:39" x14ac:dyDescent="0.3">
      <c r="I5494" s="12"/>
      <c r="N5494" s="12"/>
      <c r="S5494" s="12"/>
      <c r="X5494" s="12"/>
      <c r="AM5494" s="12"/>
    </row>
    <row r="5495" spans="9:39" x14ac:dyDescent="0.3">
      <c r="I5495" s="12"/>
      <c r="N5495" s="12"/>
      <c r="S5495" s="12"/>
      <c r="X5495" s="12"/>
      <c r="AM5495" s="12"/>
    </row>
    <row r="5496" spans="9:39" x14ac:dyDescent="0.3">
      <c r="I5496" s="12"/>
      <c r="N5496" s="12"/>
      <c r="S5496" s="12"/>
      <c r="X5496" s="12"/>
      <c r="AM5496" s="12"/>
    </row>
    <row r="5497" spans="9:39" x14ac:dyDescent="0.3">
      <c r="I5497" s="12"/>
      <c r="N5497" s="12"/>
      <c r="S5497" s="12"/>
      <c r="X5497" s="12"/>
      <c r="AM5497" s="12"/>
    </row>
    <row r="5498" spans="9:39" x14ac:dyDescent="0.3">
      <c r="I5498" s="12"/>
      <c r="N5498" s="12"/>
      <c r="S5498" s="12"/>
      <c r="X5498" s="12"/>
      <c r="AM5498" s="12"/>
    </row>
    <row r="5499" spans="9:39" x14ac:dyDescent="0.3">
      <c r="I5499" s="12"/>
      <c r="N5499" s="12"/>
      <c r="S5499" s="12"/>
      <c r="X5499" s="12"/>
      <c r="AM5499" s="12"/>
    </row>
    <row r="5500" spans="9:39" x14ac:dyDescent="0.3">
      <c r="I5500" s="12"/>
      <c r="N5500" s="12"/>
      <c r="S5500" s="12"/>
      <c r="X5500" s="12"/>
      <c r="AM5500" s="12"/>
    </row>
    <row r="5501" spans="9:39" x14ac:dyDescent="0.3">
      <c r="I5501" s="12"/>
      <c r="N5501" s="12"/>
      <c r="S5501" s="12"/>
      <c r="X5501" s="12"/>
      <c r="AM5501" s="12"/>
    </row>
    <row r="5502" spans="9:39" x14ac:dyDescent="0.3">
      <c r="I5502" s="12"/>
      <c r="N5502" s="12"/>
      <c r="S5502" s="12"/>
      <c r="X5502" s="12"/>
      <c r="AM5502" s="12"/>
    </row>
    <row r="5503" spans="9:39" x14ac:dyDescent="0.3">
      <c r="I5503" s="12"/>
      <c r="N5503" s="12"/>
      <c r="S5503" s="12"/>
      <c r="X5503" s="12"/>
      <c r="AM5503" s="12"/>
    </row>
    <row r="5504" spans="9:39" x14ac:dyDescent="0.3">
      <c r="I5504" s="12"/>
      <c r="N5504" s="12"/>
      <c r="S5504" s="12"/>
      <c r="X5504" s="12"/>
      <c r="AM5504" s="12"/>
    </row>
    <row r="5505" spans="9:39" x14ac:dyDescent="0.3">
      <c r="I5505" s="12"/>
      <c r="N5505" s="12"/>
      <c r="S5505" s="12"/>
      <c r="X5505" s="12"/>
      <c r="AM5505" s="12"/>
    </row>
    <row r="5506" spans="9:39" x14ac:dyDescent="0.3">
      <c r="I5506" s="12"/>
      <c r="N5506" s="12"/>
      <c r="S5506" s="12"/>
      <c r="X5506" s="12"/>
      <c r="AM5506" s="12"/>
    </row>
    <row r="5507" spans="9:39" x14ac:dyDescent="0.3">
      <c r="I5507" s="12"/>
      <c r="N5507" s="12"/>
      <c r="S5507" s="12"/>
      <c r="X5507" s="12"/>
      <c r="AM5507" s="12"/>
    </row>
    <row r="5508" spans="9:39" x14ac:dyDescent="0.3">
      <c r="I5508" s="12"/>
      <c r="N5508" s="12"/>
      <c r="S5508" s="12"/>
      <c r="X5508" s="12"/>
      <c r="AM5508" s="12"/>
    </row>
    <row r="5509" spans="9:39" x14ac:dyDescent="0.3">
      <c r="I5509" s="12"/>
      <c r="N5509" s="12"/>
      <c r="S5509" s="12"/>
      <c r="X5509" s="12"/>
      <c r="AM5509" s="12"/>
    </row>
    <row r="5510" spans="9:39" x14ac:dyDescent="0.3">
      <c r="I5510" s="12"/>
      <c r="N5510" s="12"/>
      <c r="S5510" s="12"/>
      <c r="X5510" s="12"/>
      <c r="AM5510" s="12"/>
    </row>
    <row r="5511" spans="9:39" x14ac:dyDescent="0.3">
      <c r="I5511" s="12"/>
      <c r="N5511" s="12"/>
      <c r="S5511" s="12"/>
      <c r="X5511" s="12"/>
      <c r="AM5511" s="12"/>
    </row>
    <row r="5512" spans="9:39" x14ac:dyDescent="0.3">
      <c r="I5512" s="12"/>
      <c r="N5512" s="12"/>
      <c r="S5512" s="12"/>
      <c r="X5512" s="12"/>
      <c r="AM5512" s="12"/>
    </row>
    <row r="5513" spans="9:39" x14ac:dyDescent="0.3">
      <c r="I5513" s="12"/>
      <c r="N5513" s="12"/>
      <c r="S5513" s="12"/>
      <c r="X5513" s="12"/>
      <c r="AM5513" s="12"/>
    </row>
    <row r="5514" spans="9:39" x14ac:dyDescent="0.3">
      <c r="I5514" s="12"/>
      <c r="N5514" s="12"/>
      <c r="S5514" s="12"/>
      <c r="X5514" s="12"/>
      <c r="AM5514" s="12"/>
    </row>
    <row r="5515" spans="9:39" x14ac:dyDescent="0.3">
      <c r="I5515" s="12"/>
      <c r="N5515" s="12"/>
      <c r="S5515" s="12"/>
      <c r="X5515" s="12"/>
      <c r="AM5515" s="12"/>
    </row>
    <row r="5516" spans="9:39" x14ac:dyDescent="0.3">
      <c r="I5516" s="12"/>
      <c r="N5516" s="12"/>
      <c r="S5516" s="12"/>
      <c r="X5516" s="12"/>
      <c r="AM5516" s="12"/>
    </row>
    <row r="5517" spans="9:39" x14ac:dyDescent="0.3">
      <c r="I5517" s="12"/>
      <c r="N5517" s="12"/>
      <c r="S5517" s="12"/>
      <c r="X5517" s="12"/>
      <c r="AM5517" s="12"/>
    </row>
    <row r="5518" spans="9:39" x14ac:dyDescent="0.3">
      <c r="I5518" s="12"/>
      <c r="N5518" s="12"/>
      <c r="S5518" s="12"/>
      <c r="X5518" s="12"/>
      <c r="AM5518" s="12"/>
    </row>
    <row r="5519" spans="9:39" x14ac:dyDescent="0.3">
      <c r="I5519" s="12"/>
      <c r="N5519" s="12"/>
      <c r="S5519" s="12"/>
      <c r="X5519" s="12"/>
      <c r="AM5519" s="12"/>
    </row>
    <row r="5520" spans="9:39" x14ac:dyDescent="0.3">
      <c r="I5520" s="12"/>
      <c r="N5520" s="12"/>
      <c r="S5520" s="12"/>
      <c r="X5520" s="12"/>
      <c r="AM5520" s="12"/>
    </row>
    <row r="5521" spans="9:39" x14ac:dyDescent="0.3">
      <c r="I5521" s="12"/>
      <c r="N5521" s="12"/>
      <c r="S5521" s="12"/>
      <c r="X5521" s="12"/>
      <c r="AM5521" s="12"/>
    </row>
    <row r="5522" spans="9:39" x14ac:dyDescent="0.3">
      <c r="I5522" s="12"/>
      <c r="N5522" s="12"/>
      <c r="S5522" s="12"/>
      <c r="X5522" s="12"/>
      <c r="AM5522" s="12"/>
    </row>
    <row r="5523" spans="9:39" x14ac:dyDescent="0.3">
      <c r="I5523" s="12"/>
      <c r="N5523" s="12"/>
      <c r="S5523" s="12"/>
      <c r="X5523" s="12"/>
      <c r="AM5523" s="12"/>
    </row>
    <row r="5524" spans="9:39" x14ac:dyDescent="0.3">
      <c r="I5524" s="12"/>
      <c r="N5524" s="12"/>
      <c r="S5524" s="12"/>
      <c r="X5524" s="12"/>
      <c r="AM5524" s="12"/>
    </row>
    <row r="5525" spans="9:39" x14ac:dyDescent="0.3">
      <c r="I5525" s="12"/>
      <c r="N5525" s="12"/>
      <c r="S5525" s="12"/>
      <c r="X5525" s="12"/>
      <c r="AM5525" s="12"/>
    </row>
    <row r="5526" spans="9:39" x14ac:dyDescent="0.3">
      <c r="I5526" s="12"/>
      <c r="N5526" s="12"/>
      <c r="S5526" s="12"/>
      <c r="X5526" s="12"/>
      <c r="AM5526" s="12"/>
    </row>
    <row r="5527" spans="9:39" x14ac:dyDescent="0.3">
      <c r="I5527" s="12"/>
      <c r="N5527" s="12"/>
      <c r="S5527" s="12"/>
      <c r="X5527" s="12"/>
      <c r="AM5527" s="12"/>
    </row>
    <row r="5528" spans="9:39" x14ac:dyDescent="0.3">
      <c r="I5528" s="12"/>
      <c r="N5528" s="12"/>
      <c r="S5528" s="12"/>
      <c r="X5528" s="12"/>
      <c r="AM5528" s="12"/>
    </row>
    <row r="5529" spans="9:39" x14ac:dyDescent="0.3">
      <c r="I5529" s="12"/>
      <c r="N5529" s="12"/>
      <c r="S5529" s="12"/>
      <c r="X5529" s="12"/>
      <c r="AM5529" s="12"/>
    </row>
    <row r="5530" spans="9:39" x14ac:dyDescent="0.3">
      <c r="I5530" s="12"/>
      <c r="N5530" s="12"/>
      <c r="S5530" s="12"/>
      <c r="X5530" s="12"/>
      <c r="AM5530" s="12"/>
    </row>
    <row r="5531" spans="9:39" x14ac:dyDescent="0.3">
      <c r="I5531" s="12"/>
      <c r="N5531" s="12"/>
      <c r="S5531" s="12"/>
      <c r="X5531" s="12"/>
      <c r="AM5531" s="12"/>
    </row>
    <row r="5532" spans="9:39" x14ac:dyDescent="0.3">
      <c r="I5532" s="12"/>
      <c r="N5532" s="12"/>
      <c r="S5532" s="12"/>
      <c r="X5532" s="12"/>
      <c r="AM5532" s="12"/>
    </row>
    <row r="5533" spans="9:39" x14ac:dyDescent="0.3">
      <c r="I5533" s="12"/>
      <c r="N5533" s="12"/>
      <c r="S5533" s="12"/>
      <c r="X5533" s="12"/>
      <c r="AM5533" s="12"/>
    </row>
    <row r="5534" spans="9:39" x14ac:dyDescent="0.3">
      <c r="I5534" s="12"/>
      <c r="N5534" s="12"/>
      <c r="S5534" s="12"/>
      <c r="X5534" s="12"/>
      <c r="AM5534" s="12"/>
    </row>
    <row r="5535" spans="9:39" x14ac:dyDescent="0.3">
      <c r="I5535" s="12"/>
      <c r="N5535" s="12"/>
      <c r="S5535" s="12"/>
      <c r="X5535" s="12"/>
      <c r="AM5535" s="12"/>
    </row>
    <row r="5536" spans="9:39" x14ac:dyDescent="0.3">
      <c r="I5536" s="12"/>
      <c r="N5536" s="12"/>
      <c r="S5536" s="12"/>
      <c r="X5536" s="12"/>
      <c r="AM5536" s="12"/>
    </row>
    <row r="5537" spans="9:39" x14ac:dyDescent="0.3">
      <c r="I5537" s="12"/>
      <c r="N5537" s="12"/>
      <c r="S5537" s="12"/>
      <c r="X5537" s="12"/>
      <c r="AM5537" s="12"/>
    </row>
    <row r="5538" spans="9:39" x14ac:dyDescent="0.3">
      <c r="I5538" s="12"/>
      <c r="N5538" s="12"/>
      <c r="S5538" s="12"/>
      <c r="X5538" s="12"/>
      <c r="AM5538" s="12"/>
    </row>
    <row r="5539" spans="9:39" x14ac:dyDescent="0.3">
      <c r="I5539" s="12"/>
      <c r="N5539" s="12"/>
      <c r="S5539" s="12"/>
      <c r="X5539" s="12"/>
      <c r="AM5539" s="12"/>
    </row>
    <row r="5540" spans="9:39" x14ac:dyDescent="0.3">
      <c r="I5540" s="12"/>
      <c r="N5540" s="12"/>
      <c r="S5540" s="12"/>
      <c r="X5540" s="12"/>
      <c r="AM5540" s="12"/>
    </row>
    <row r="5541" spans="9:39" x14ac:dyDescent="0.3">
      <c r="I5541" s="12"/>
      <c r="N5541" s="12"/>
      <c r="S5541" s="12"/>
      <c r="X5541" s="12"/>
      <c r="AM5541" s="12"/>
    </row>
    <row r="5542" spans="9:39" x14ac:dyDescent="0.3">
      <c r="I5542" s="12"/>
      <c r="N5542" s="12"/>
      <c r="S5542" s="12"/>
      <c r="X5542" s="12"/>
      <c r="AM5542" s="12"/>
    </row>
    <row r="5543" spans="9:39" x14ac:dyDescent="0.3">
      <c r="I5543" s="12"/>
      <c r="N5543" s="12"/>
      <c r="S5543" s="12"/>
      <c r="X5543" s="12"/>
      <c r="AM5543" s="12"/>
    </row>
    <row r="5544" spans="9:39" x14ac:dyDescent="0.3">
      <c r="I5544" s="12"/>
      <c r="N5544" s="12"/>
      <c r="S5544" s="12"/>
      <c r="X5544" s="12"/>
      <c r="AM5544" s="12"/>
    </row>
    <row r="5545" spans="9:39" x14ac:dyDescent="0.3">
      <c r="I5545" s="12"/>
      <c r="N5545" s="12"/>
      <c r="S5545" s="12"/>
      <c r="X5545" s="12"/>
      <c r="AM5545" s="12"/>
    </row>
    <row r="5546" spans="9:39" x14ac:dyDescent="0.3">
      <c r="I5546" s="12"/>
      <c r="N5546" s="12"/>
      <c r="S5546" s="12"/>
      <c r="X5546" s="12"/>
      <c r="AM5546" s="12"/>
    </row>
    <row r="5547" spans="9:39" x14ac:dyDescent="0.3">
      <c r="I5547" s="12"/>
      <c r="N5547" s="12"/>
      <c r="S5547" s="12"/>
      <c r="X5547" s="12"/>
      <c r="AM5547" s="12"/>
    </row>
    <row r="5548" spans="9:39" x14ac:dyDescent="0.3">
      <c r="I5548" s="12"/>
      <c r="N5548" s="12"/>
      <c r="S5548" s="12"/>
      <c r="X5548" s="12"/>
      <c r="AM5548" s="12"/>
    </row>
    <row r="5549" spans="9:39" x14ac:dyDescent="0.3">
      <c r="I5549" s="12"/>
      <c r="N5549" s="12"/>
      <c r="S5549" s="12"/>
      <c r="X5549" s="12"/>
      <c r="AM5549" s="12"/>
    </row>
    <row r="5550" spans="9:39" x14ac:dyDescent="0.3">
      <c r="I5550" s="12"/>
      <c r="N5550" s="12"/>
      <c r="S5550" s="12"/>
      <c r="X5550" s="12"/>
      <c r="AM5550" s="12"/>
    </row>
    <row r="5551" spans="9:39" x14ac:dyDescent="0.3">
      <c r="I5551" s="12"/>
      <c r="N5551" s="12"/>
      <c r="S5551" s="12"/>
      <c r="X5551" s="12"/>
      <c r="AM5551" s="12"/>
    </row>
    <row r="5552" spans="9:39" x14ac:dyDescent="0.3">
      <c r="I5552" s="12"/>
      <c r="N5552" s="12"/>
      <c r="S5552" s="12"/>
      <c r="X5552" s="12"/>
      <c r="AM5552" s="12"/>
    </row>
    <row r="5553" spans="9:39" x14ac:dyDescent="0.3">
      <c r="I5553" s="12"/>
      <c r="N5553" s="12"/>
      <c r="S5553" s="12"/>
      <c r="X5553" s="12"/>
      <c r="AM5553" s="12"/>
    </row>
    <row r="5554" spans="9:39" x14ac:dyDescent="0.3">
      <c r="I5554" s="12"/>
      <c r="N5554" s="12"/>
      <c r="S5554" s="12"/>
      <c r="X5554" s="12"/>
      <c r="AM5554" s="12"/>
    </row>
    <row r="5555" spans="9:39" x14ac:dyDescent="0.3">
      <c r="I5555" s="12"/>
      <c r="N5555" s="12"/>
      <c r="S5555" s="12"/>
      <c r="X5555" s="12"/>
      <c r="AM5555" s="12"/>
    </row>
    <row r="5556" spans="9:39" x14ac:dyDescent="0.3">
      <c r="I5556" s="12"/>
      <c r="N5556" s="12"/>
      <c r="S5556" s="12"/>
      <c r="X5556" s="12"/>
      <c r="AM5556" s="12"/>
    </row>
    <row r="5557" spans="9:39" x14ac:dyDescent="0.3">
      <c r="I5557" s="12"/>
      <c r="N5557" s="12"/>
      <c r="S5557" s="12"/>
      <c r="X5557" s="12"/>
      <c r="AM5557" s="12"/>
    </row>
    <row r="5558" spans="9:39" x14ac:dyDescent="0.3">
      <c r="I5558" s="12"/>
      <c r="N5558" s="12"/>
      <c r="S5558" s="12"/>
      <c r="X5558" s="12"/>
      <c r="AM5558" s="12"/>
    </row>
    <row r="5559" spans="9:39" x14ac:dyDescent="0.3">
      <c r="I5559" s="12"/>
      <c r="N5559" s="12"/>
      <c r="S5559" s="12"/>
      <c r="X5559" s="12"/>
      <c r="AM5559" s="12"/>
    </row>
    <row r="5560" spans="9:39" x14ac:dyDescent="0.3">
      <c r="I5560" s="12"/>
      <c r="N5560" s="12"/>
      <c r="S5560" s="12"/>
      <c r="X5560" s="12"/>
      <c r="AM5560" s="12"/>
    </row>
    <row r="5561" spans="9:39" x14ac:dyDescent="0.3">
      <c r="I5561" s="12"/>
      <c r="N5561" s="12"/>
      <c r="S5561" s="12"/>
      <c r="X5561" s="12"/>
      <c r="AM5561" s="12"/>
    </row>
    <row r="5562" spans="9:39" x14ac:dyDescent="0.3">
      <c r="I5562" s="12"/>
      <c r="N5562" s="12"/>
      <c r="S5562" s="12"/>
      <c r="X5562" s="12"/>
      <c r="AM5562" s="12"/>
    </row>
    <row r="5563" spans="9:39" x14ac:dyDescent="0.3">
      <c r="I5563" s="12"/>
      <c r="N5563" s="12"/>
      <c r="S5563" s="12"/>
      <c r="X5563" s="12"/>
      <c r="AM5563" s="12"/>
    </row>
    <row r="5564" spans="9:39" x14ac:dyDescent="0.3">
      <c r="I5564" s="12"/>
      <c r="N5564" s="12"/>
      <c r="S5564" s="12"/>
      <c r="X5564" s="12"/>
      <c r="AM5564" s="12"/>
    </row>
    <row r="5565" spans="9:39" x14ac:dyDescent="0.3">
      <c r="I5565" s="12"/>
      <c r="N5565" s="12"/>
      <c r="S5565" s="12"/>
      <c r="X5565" s="12"/>
      <c r="AM5565" s="12"/>
    </row>
    <row r="5566" spans="9:39" x14ac:dyDescent="0.3">
      <c r="I5566" s="12"/>
      <c r="N5566" s="12"/>
      <c r="S5566" s="12"/>
      <c r="X5566" s="12"/>
      <c r="AM5566" s="12"/>
    </row>
    <row r="5567" spans="9:39" x14ac:dyDescent="0.3">
      <c r="I5567" s="12"/>
      <c r="N5567" s="12"/>
      <c r="S5567" s="12"/>
      <c r="X5567" s="12"/>
      <c r="AM5567" s="12"/>
    </row>
    <row r="5568" spans="9:39" x14ac:dyDescent="0.3">
      <c r="I5568" s="12"/>
      <c r="N5568" s="12"/>
      <c r="S5568" s="12"/>
      <c r="X5568" s="12"/>
      <c r="AM5568" s="12"/>
    </row>
    <row r="5569" spans="9:39" x14ac:dyDescent="0.3">
      <c r="I5569" s="12"/>
      <c r="N5569" s="12"/>
      <c r="S5569" s="12"/>
      <c r="X5569" s="12"/>
      <c r="AM5569" s="12"/>
    </row>
    <row r="5570" spans="9:39" x14ac:dyDescent="0.3">
      <c r="I5570" s="12"/>
      <c r="N5570" s="12"/>
      <c r="S5570" s="12"/>
      <c r="X5570" s="12"/>
      <c r="AM5570" s="12"/>
    </row>
    <row r="5571" spans="9:39" x14ac:dyDescent="0.3">
      <c r="I5571" s="12"/>
      <c r="N5571" s="12"/>
      <c r="S5571" s="12"/>
      <c r="X5571" s="12"/>
      <c r="AM5571" s="12"/>
    </row>
    <row r="5572" spans="9:39" x14ac:dyDescent="0.3">
      <c r="I5572" s="12"/>
      <c r="N5572" s="12"/>
      <c r="S5572" s="12"/>
      <c r="X5572" s="12"/>
      <c r="AM5572" s="12"/>
    </row>
    <row r="5573" spans="9:39" x14ac:dyDescent="0.3">
      <c r="I5573" s="12"/>
      <c r="N5573" s="12"/>
      <c r="S5573" s="12"/>
      <c r="X5573" s="12"/>
      <c r="AM5573" s="12"/>
    </row>
    <row r="5574" spans="9:39" x14ac:dyDescent="0.3">
      <c r="I5574" s="12"/>
      <c r="N5574" s="12"/>
      <c r="S5574" s="12"/>
      <c r="X5574" s="12"/>
      <c r="AM5574" s="12"/>
    </row>
    <row r="5575" spans="9:39" x14ac:dyDescent="0.3">
      <c r="I5575" s="12"/>
      <c r="N5575" s="12"/>
      <c r="S5575" s="12"/>
      <c r="X5575" s="12"/>
      <c r="AM5575" s="12"/>
    </row>
    <row r="5576" spans="9:39" x14ac:dyDescent="0.3">
      <c r="I5576" s="12"/>
      <c r="N5576" s="12"/>
      <c r="S5576" s="12"/>
      <c r="X5576" s="12"/>
      <c r="AM5576" s="12"/>
    </row>
    <row r="5577" spans="9:39" x14ac:dyDescent="0.3">
      <c r="I5577" s="12"/>
      <c r="N5577" s="12"/>
      <c r="S5577" s="12"/>
      <c r="X5577" s="12"/>
      <c r="AM5577" s="12"/>
    </row>
    <row r="5578" spans="9:39" x14ac:dyDescent="0.3">
      <c r="I5578" s="12"/>
      <c r="N5578" s="12"/>
      <c r="S5578" s="12"/>
      <c r="X5578" s="12"/>
      <c r="AM5578" s="12"/>
    </row>
    <row r="5579" spans="9:39" x14ac:dyDescent="0.3">
      <c r="I5579" s="12"/>
      <c r="N5579" s="12"/>
      <c r="S5579" s="12"/>
      <c r="X5579" s="12"/>
      <c r="AM5579" s="12"/>
    </row>
    <row r="5580" spans="9:39" x14ac:dyDescent="0.3">
      <c r="I5580" s="12"/>
      <c r="N5580" s="12"/>
      <c r="S5580" s="12"/>
      <c r="X5580" s="12"/>
      <c r="AM5580" s="12"/>
    </row>
    <row r="5581" spans="9:39" x14ac:dyDescent="0.3">
      <c r="I5581" s="12"/>
      <c r="N5581" s="12"/>
      <c r="S5581" s="12"/>
      <c r="X5581" s="12"/>
      <c r="AM5581" s="12"/>
    </row>
    <row r="5582" spans="9:39" x14ac:dyDescent="0.3">
      <c r="I5582" s="12"/>
      <c r="N5582" s="12"/>
      <c r="S5582" s="12"/>
      <c r="X5582" s="12"/>
      <c r="AM5582" s="12"/>
    </row>
    <row r="5583" spans="9:39" x14ac:dyDescent="0.3">
      <c r="I5583" s="12"/>
      <c r="N5583" s="12"/>
      <c r="S5583" s="12"/>
      <c r="X5583" s="12"/>
      <c r="AM5583" s="12"/>
    </row>
    <row r="5584" spans="9:39" x14ac:dyDescent="0.3">
      <c r="I5584" s="12"/>
      <c r="N5584" s="12"/>
      <c r="S5584" s="12"/>
      <c r="X5584" s="12"/>
      <c r="AM5584" s="12"/>
    </row>
    <row r="5585" spans="9:39" x14ac:dyDescent="0.3">
      <c r="I5585" s="12"/>
      <c r="N5585" s="12"/>
      <c r="S5585" s="12"/>
      <c r="X5585" s="12"/>
      <c r="AM5585" s="12"/>
    </row>
    <row r="5586" spans="9:39" x14ac:dyDescent="0.3">
      <c r="I5586" s="12"/>
      <c r="N5586" s="12"/>
      <c r="S5586" s="12"/>
      <c r="X5586" s="12"/>
      <c r="AM5586" s="12"/>
    </row>
    <row r="5587" spans="9:39" x14ac:dyDescent="0.3">
      <c r="I5587" s="12"/>
      <c r="N5587" s="12"/>
      <c r="S5587" s="12"/>
      <c r="X5587" s="12"/>
      <c r="AM5587" s="12"/>
    </row>
    <row r="5588" spans="9:39" x14ac:dyDescent="0.3">
      <c r="I5588" s="12"/>
      <c r="N5588" s="12"/>
      <c r="S5588" s="12"/>
      <c r="X5588" s="12"/>
      <c r="AM5588" s="12"/>
    </row>
    <row r="5589" spans="9:39" x14ac:dyDescent="0.3">
      <c r="I5589" s="12"/>
      <c r="N5589" s="12"/>
      <c r="S5589" s="12"/>
      <c r="X5589" s="12"/>
      <c r="AM5589" s="12"/>
    </row>
    <row r="5590" spans="9:39" x14ac:dyDescent="0.3">
      <c r="I5590" s="12"/>
      <c r="N5590" s="12"/>
      <c r="S5590" s="12"/>
      <c r="X5590" s="12"/>
      <c r="AM5590" s="12"/>
    </row>
    <row r="5591" spans="9:39" x14ac:dyDescent="0.3">
      <c r="I5591" s="12"/>
      <c r="N5591" s="12"/>
      <c r="S5591" s="12"/>
      <c r="X5591" s="12"/>
      <c r="AM5591" s="12"/>
    </row>
    <row r="5592" spans="9:39" x14ac:dyDescent="0.3">
      <c r="I5592" s="12"/>
      <c r="N5592" s="12"/>
      <c r="S5592" s="12"/>
      <c r="X5592" s="12"/>
      <c r="AM5592" s="12"/>
    </row>
    <row r="5593" spans="9:39" x14ac:dyDescent="0.3">
      <c r="I5593" s="12"/>
      <c r="N5593" s="12"/>
      <c r="S5593" s="12"/>
      <c r="X5593" s="12"/>
      <c r="AM5593" s="12"/>
    </row>
    <row r="5594" spans="9:39" x14ac:dyDescent="0.3">
      <c r="I5594" s="12"/>
      <c r="N5594" s="12"/>
      <c r="S5594" s="12"/>
      <c r="X5594" s="12"/>
      <c r="AM5594" s="12"/>
    </row>
    <row r="5595" spans="9:39" x14ac:dyDescent="0.3">
      <c r="I5595" s="12"/>
      <c r="N5595" s="12"/>
      <c r="S5595" s="12"/>
      <c r="X5595" s="12"/>
      <c r="AM5595" s="12"/>
    </row>
    <row r="5596" spans="9:39" x14ac:dyDescent="0.3">
      <c r="I5596" s="12"/>
      <c r="N5596" s="12"/>
      <c r="S5596" s="12"/>
      <c r="X5596" s="12"/>
      <c r="AM5596" s="12"/>
    </row>
    <row r="5597" spans="9:39" x14ac:dyDescent="0.3">
      <c r="I5597" s="12"/>
      <c r="N5597" s="12"/>
      <c r="S5597" s="12"/>
      <c r="X5597" s="12"/>
      <c r="AM5597" s="12"/>
    </row>
    <row r="5598" spans="9:39" x14ac:dyDescent="0.3">
      <c r="I5598" s="12"/>
      <c r="N5598" s="12"/>
      <c r="S5598" s="12"/>
      <c r="X5598" s="12"/>
      <c r="AM5598" s="12"/>
    </row>
    <row r="5599" spans="9:39" x14ac:dyDescent="0.3">
      <c r="I5599" s="12"/>
      <c r="N5599" s="12"/>
      <c r="S5599" s="12"/>
      <c r="X5599" s="12"/>
      <c r="AM5599" s="12"/>
    </row>
    <row r="5600" spans="9:39" x14ac:dyDescent="0.3">
      <c r="I5600" s="12"/>
      <c r="N5600" s="12"/>
      <c r="S5600" s="12"/>
      <c r="X5600" s="12"/>
      <c r="AM5600" s="12"/>
    </row>
    <row r="5601" spans="9:39" x14ac:dyDescent="0.3">
      <c r="I5601" s="12"/>
      <c r="N5601" s="12"/>
      <c r="S5601" s="12"/>
      <c r="X5601" s="12"/>
      <c r="AM5601" s="12"/>
    </row>
    <row r="5602" spans="9:39" x14ac:dyDescent="0.3">
      <c r="I5602" s="12"/>
      <c r="N5602" s="12"/>
      <c r="S5602" s="12"/>
      <c r="X5602" s="12"/>
      <c r="AM5602" s="12"/>
    </row>
    <row r="5603" spans="9:39" x14ac:dyDescent="0.3">
      <c r="I5603" s="12"/>
      <c r="N5603" s="12"/>
      <c r="S5603" s="12"/>
      <c r="X5603" s="12"/>
      <c r="AM5603" s="12"/>
    </row>
    <row r="5604" spans="9:39" x14ac:dyDescent="0.3">
      <c r="I5604" s="12"/>
      <c r="N5604" s="12"/>
      <c r="S5604" s="12"/>
      <c r="X5604" s="12"/>
      <c r="AM5604" s="12"/>
    </row>
    <row r="5605" spans="9:39" x14ac:dyDescent="0.3">
      <c r="I5605" s="12"/>
      <c r="N5605" s="12"/>
      <c r="S5605" s="12"/>
      <c r="X5605" s="12"/>
      <c r="AM5605" s="12"/>
    </row>
    <row r="5606" spans="9:39" x14ac:dyDescent="0.3">
      <c r="I5606" s="12"/>
      <c r="N5606" s="12"/>
      <c r="S5606" s="12"/>
      <c r="X5606" s="12"/>
      <c r="AM5606" s="12"/>
    </row>
    <row r="5607" spans="9:39" x14ac:dyDescent="0.3">
      <c r="I5607" s="12"/>
      <c r="N5607" s="12"/>
      <c r="S5607" s="12"/>
      <c r="X5607" s="12"/>
      <c r="AM5607" s="12"/>
    </row>
    <row r="5608" spans="9:39" x14ac:dyDescent="0.3">
      <c r="I5608" s="12"/>
      <c r="N5608" s="12"/>
      <c r="S5608" s="12"/>
      <c r="X5608" s="12"/>
      <c r="AM5608" s="12"/>
    </row>
    <row r="5609" spans="9:39" x14ac:dyDescent="0.3">
      <c r="I5609" s="12"/>
      <c r="N5609" s="12"/>
      <c r="S5609" s="12"/>
      <c r="X5609" s="12"/>
      <c r="AM5609" s="12"/>
    </row>
    <row r="5610" spans="9:39" x14ac:dyDescent="0.3">
      <c r="I5610" s="12"/>
      <c r="N5610" s="12"/>
      <c r="S5610" s="12"/>
      <c r="X5610" s="12"/>
      <c r="AM5610" s="12"/>
    </row>
    <row r="5611" spans="9:39" x14ac:dyDescent="0.3">
      <c r="I5611" s="12"/>
      <c r="N5611" s="12"/>
      <c r="S5611" s="12"/>
      <c r="X5611" s="12"/>
      <c r="AM5611" s="12"/>
    </row>
    <row r="5612" spans="9:39" x14ac:dyDescent="0.3">
      <c r="I5612" s="12"/>
      <c r="N5612" s="12"/>
      <c r="S5612" s="12"/>
      <c r="X5612" s="12"/>
      <c r="AM5612" s="12"/>
    </row>
    <row r="5613" spans="9:39" x14ac:dyDescent="0.3">
      <c r="I5613" s="12"/>
      <c r="N5613" s="12"/>
      <c r="S5613" s="12"/>
      <c r="X5613" s="12"/>
      <c r="AM5613" s="12"/>
    </row>
    <row r="5614" spans="9:39" x14ac:dyDescent="0.3">
      <c r="I5614" s="12"/>
      <c r="N5614" s="12"/>
      <c r="S5614" s="12"/>
      <c r="X5614" s="12"/>
      <c r="AM5614" s="12"/>
    </row>
    <row r="5615" spans="9:39" x14ac:dyDescent="0.3">
      <c r="I5615" s="12"/>
      <c r="N5615" s="12"/>
      <c r="S5615" s="12"/>
      <c r="X5615" s="12"/>
      <c r="AM5615" s="12"/>
    </row>
    <row r="5616" spans="9:39" x14ac:dyDescent="0.3">
      <c r="I5616" s="12"/>
      <c r="N5616" s="12"/>
      <c r="S5616" s="12"/>
      <c r="X5616" s="12"/>
      <c r="AM5616" s="12"/>
    </row>
    <row r="5617" spans="9:39" x14ac:dyDescent="0.3">
      <c r="I5617" s="12"/>
      <c r="N5617" s="12"/>
      <c r="S5617" s="12"/>
      <c r="X5617" s="12"/>
      <c r="AM5617" s="12"/>
    </row>
    <row r="5618" spans="9:39" x14ac:dyDescent="0.3">
      <c r="I5618" s="12"/>
      <c r="N5618" s="12"/>
      <c r="S5618" s="12"/>
      <c r="X5618" s="12"/>
      <c r="AM5618" s="12"/>
    </row>
    <row r="5619" spans="9:39" x14ac:dyDescent="0.3">
      <c r="I5619" s="12"/>
      <c r="N5619" s="12"/>
      <c r="S5619" s="12"/>
      <c r="X5619" s="12"/>
      <c r="AM5619" s="12"/>
    </row>
    <row r="5620" spans="9:39" x14ac:dyDescent="0.3">
      <c r="I5620" s="12"/>
      <c r="N5620" s="12"/>
      <c r="S5620" s="12"/>
      <c r="X5620" s="12"/>
      <c r="AM5620" s="12"/>
    </row>
    <row r="5621" spans="9:39" x14ac:dyDescent="0.3">
      <c r="I5621" s="12"/>
      <c r="N5621" s="12"/>
      <c r="S5621" s="12"/>
      <c r="X5621" s="12"/>
      <c r="AM5621" s="12"/>
    </row>
    <row r="5622" spans="9:39" x14ac:dyDescent="0.3">
      <c r="I5622" s="12"/>
      <c r="N5622" s="12"/>
      <c r="S5622" s="12"/>
      <c r="X5622" s="12"/>
      <c r="AM5622" s="12"/>
    </row>
    <row r="5623" spans="9:39" x14ac:dyDescent="0.3">
      <c r="I5623" s="12"/>
      <c r="N5623" s="12"/>
      <c r="S5623" s="12"/>
      <c r="X5623" s="12"/>
      <c r="AM5623" s="12"/>
    </row>
    <row r="5624" spans="9:39" x14ac:dyDescent="0.3">
      <c r="I5624" s="12"/>
      <c r="N5624" s="12"/>
      <c r="S5624" s="12"/>
      <c r="X5624" s="12"/>
      <c r="AM5624" s="12"/>
    </row>
    <row r="5625" spans="9:39" x14ac:dyDescent="0.3">
      <c r="I5625" s="12"/>
      <c r="N5625" s="12"/>
      <c r="S5625" s="12"/>
      <c r="X5625" s="12"/>
      <c r="AM5625" s="12"/>
    </row>
    <row r="5626" spans="9:39" x14ac:dyDescent="0.3">
      <c r="I5626" s="12"/>
      <c r="N5626" s="12"/>
      <c r="S5626" s="12"/>
      <c r="X5626" s="12"/>
      <c r="AM5626" s="12"/>
    </row>
    <row r="5627" spans="9:39" x14ac:dyDescent="0.3">
      <c r="I5627" s="12"/>
      <c r="N5627" s="12"/>
      <c r="S5627" s="12"/>
      <c r="X5627" s="12"/>
      <c r="AM5627" s="12"/>
    </row>
    <row r="5628" spans="9:39" x14ac:dyDescent="0.3">
      <c r="I5628" s="12"/>
      <c r="N5628" s="12"/>
      <c r="S5628" s="12"/>
      <c r="X5628" s="12"/>
      <c r="AM5628" s="12"/>
    </row>
    <row r="5629" spans="9:39" x14ac:dyDescent="0.3">
      <c r="I5629" s="12"/>
      <c r="N5629" s="12"/>
      <c r="S5629" s="12"/>
      <c r="X5629" s="12"/>
      <c r="AM5629" s="12"/>
    </row>
    <row r="5630" spans="9:39" x14ac:dyDescent="0.3">
      <c r="I5630" s="12"/>
      <c r="N5630" s="12"/>
      <c r="S5630" s="12"/>
      <c r="X5630" s="12"/>
      <c r="AM5630" s="12"/>
    </row>
    <row r="5631" spans="9:39" x14ac:dyDescent="0.3">
      <c r="I5631" s="12"/>
      <c r="N5631" s="12"/>
      <c r="S5631" s="12"/>
      <c r="X5631" s="12"/>
      <c r="AM5631" s="12"/>
    </row>
    <row r="5632" spans="9:39" x14ac:dyDescent="0.3">
      <c r="I5632" s="12"/>
      <c r="N5632" s="12"/>
      <c r="S5632" s="12"/>
      <c r="X5632" s="12"/>
      <c r="AM5632" s="12"/>
    </row>
    <row r="5633" spans="9:39" x14ac:dyDescent="0.3">
      <c r="I5633" s="12"/>
      <c r="N5633" s="12"/>
      <c r="S5633" s="12"/>
      <c r="X5633" s="12"/>
      <c r="AM5633" s="12"/>
    </row>
    <row r="5634" spans="9:39" x14ac:dyDescent="0.3">
      <c r="I5634" s="12"/>
      <c r="N5634" s="12"/>
      <c r="S5634" s="12"/>
      <c r="X5634" s="12"/>
      <c r="AM5634" s="12"/>
    </row>
    <row r="5635" spans="9:39" x14ac:dyDescent="0.3">
      <c r="I5635" s="12"/>
      <c r="N5635" s="12"/>
      <c r="S5635" s="12"/>
      <c r="X5635" s="12"/>
      <c r="AM5635" s="12"/>
    </row>
    <row r="5636" spans="9:39" x14ac:dyDescent="0.3">
      <c r="I5636" s="12"/>
      <c r="N5636" s="12"/>
      <c r="S5636" s="12"/>
      <c r="X5636" s="12"/>
      <c r="AM5636" s="12"/>
    </row>
    <row r="5637" spans="9:39" x14ac:dyDescent="0.3">
      <c r="I5637" s="12"/>
      <c r="N5637" s="12"/>
      <c r="S5637" s="12"/>
      <c r="X5637" s="12"/>
      <c r="AM5637" s="12"/>
    </row>
    <row r="5638" spans="9:39" x14ac:dyDescent="0.3">
      <c r="I5638" s="12"/>
      <c r="N5638" s="12"/>
      <c r="S5638" s="12"/>
      <c r="X5638" s="12"/>
      <c r="AM5638" s="12"/>
    </row>
    <row r="5639" spans="9:39" x14ac:dyDescent="0.3">
      <c r="I5639" s="12"/>
      <c r="N5639" s="12"/>
      <c r="S5639" s="12"/>
      <c r="X5639" s="12"/>
      <c r="AM5639" s="12"/>
    </row>
    <row r="5640" spans="9:39" x14ac:dyDescent="0.3">
      <c r="I5640" s="12"/>
      <c r="N5640" s="12"/>
      <c r="S5640" s="12"/>
      <c r="X5640" s="12"/>
      <c r="AM5640" s="12"/>
    </row>
    <row r="5641" spans="9:39" x14ac:dyDescent="0.3">
      <c r="I5641" s="12"/>
      <c r="N5641" s="12"/>
      <c r="S5641" s="12"/>
      <c r="X5641" s="12"/>
      <c r="AM5641" s="12"/>
    </row>
    <row r="5642" spans="9:39" x14ac:dyDescent="0.3">
      <c r="I5642" s="12"/>
      <c r="N5642" s="12"/>
      <c r="S5642" s="12"/>
      <c r="X5642" s="12"/>
      <c r="AM5642" s="12"/>
    </row>
    <row r="5643" spans="9:39" x14ac:dyDescent="0.3">
      <c r="I5643" s="12"/>
      <c r="N5643" s="12"/>
      <c r="S5643" s="12"/>
      <c r="X5643" s="12"/>
      <c r="AM5643" s="12"/>
    </row>
    <row r="5644" spans="9:39" x14ac:dyDescent="0.3">
      <c r="I5644" s="12"/>
      <c r="N5644" s="12"/>
      <c r="S5644" s="12"/>
      <c r="X5644" s="12"/>
      <c r="AM5644" s="12"/>
    </row>
    <row r="5645" spans="9:39" x14ac:dyDescent="0.3">
      <c r="I5645" s="12"/>
      <c r="N5645" s="12"/>
      <c r="S5645" s="12"/>
      <c r="X5645" s="12"/>
      <c r="AM5645" s="12"/>
    </row>
    <row r="5646" spans="9:39" x14ac:dyDescent="0.3">
      <c r="I5646" s="12"/>
      <c r="N5646" s="12"/>
      <c r="S5646" s="12"/>
      <c r="X5646" s="12"/>
      <c r="AM5646" s="12"/>
    </row>
    <row r="5647" spans="9:39" x14ac:dyDescent="0.3">
      <c r="I5647" s="12"/>
      <c r="N5647" s="12"/>
      <c r="S5647" s="12"/>
      <c r="X5647" s="12"/>
      <c r="AM5647" s="12"/>
    </row>
    <row r="5648" spans="9:39" x14ac:dyDescent="0.3">
      <c r="I5648" s="12"/>
      <c r="N5648" s="12"/>
      <c r="S5648" s="12"/>
      <c r="X5648" s="12"/>
      <c r="AM5648" s="12"/>
    </row>
    <row r="5649" spans="9:39" x14ac:dyDescent="0.3">
      <c r="I5649" s="12"/>
      <c r="N5649" s="12"/>
      <c r="S5649" s="12"/>
      <c r="X5649" s="12"/>
      <c r="AM5649" s="12"/>
    </row>
    <row r="5650" spans="9:39" x14ac:dyDescent="0.3">
      <c r="I5650" s="12"/>
      <c r="N5650" s="12"/>
      <c r="S5650" s="12"/>
      <c r="X5650" s="12"/>
      <c r="AM5650" s="12"/>
    </row>
    <row r="5651" spans="9:39" x14ac:dyDescent="0.3">
      <c r="I5651" s="12"/>
      <c r="N5651" s="12"/>
      <c r="S5651" s="12"/>
      <c r="X5651" s="12"/>
      <c r="AM5651" s="12"/>
    </row>
    <row r="5652" spans="9:39" x14ac:dyDescent="0.3">
      <c r="I5652" s="12"/>
      <c r="N5652" s="12"/>
      <c r="S5652" s="12"/>
      <c r="X5652" s="12"/>
      <c r="AM5652" s="12"/>
    </row>
    <row r="5653" spans="9:39" x14ac:dyDescent="0.3">
      <c r="I5653" s="12"/>
      <c r="N5653" s="12"/>
      <c r="S5653" s="12"/>
      <c r="X5653" s="12"/>
      <c r="AM5653" s="12"/>
    </row>
    <row r="5654" spans="9:39" x14ac:dyDescent="0.3">
      <c r="I5654" s="12"/>
      <c r="N5654" s="12"/>
      <c r="S5654" s="12"/>
      <c r="X5654" s="12"/>
      <c r="AM5654" s="12"/>
    </row>
    <row r="5655" spans="9:39" x14ac:dyDescent="0.3">
      <c r="I5655" s="12"/>
      <c r="N5655" s="12"/>
      <c r="S5655" s="12"/>
      <c r="X5655" s="12"/>
      <c r="AM5655" s="12"/>
    </row>
    <row r="5656" spans="9:39" x14ac:dyDescent="0.3">
      <c r="I5656" s="12"/>
      <c r="N5656" s="12"/>
      <c r="S5656" s="12"/>
      <c r="X5656" s="12"/>
      <c r="AM5656" s="12"/>
    </row>
    <row r="5657" spans="9:39" x14ac:dyDescent="0.3">
      <c r="I5657" s="12"/>
      <c r="N5657" s="12"/>
      <c r="S5657" s="12"/>
      <c r="X5657" s="12"/>
      <c r="AM5657" s="12"/>
    </row>
    <row r="5658" spans="9:39" x14ac:dyDescent="0.3">
      <c r="I5658" s="12"/>
      <c r="N5658" s="12"/>
      <c r="S5658" s="12"/>
      <c r="X5658" s="12"/>
      <c r="AM5658" s="12"/>
    </row>
    <row r="5659" spans="9:39" x14ac:dyDescent="0.3">
      <c r="I5659" s="12"/>
      <c r="N5659" s="12"/>
      <c r="S5659" s="12"/>
      <c r="X5659" s="12"/>
      <c r="AM5659" s="12"/>
    </row>
    <row r="5660" spans="9:39" x14ac:dyDescent="0.3">
      <c r="I5660" s="12"/>
      <c r="N5660" s="12"/>
      <c r="S5660" s="12"/>
      <c r="X5660" s="12"/>
      <c r="AM5660" s="12"/>
    </row>
    <row r="5661" spans="9:39" x14ac:dyDescent="0.3">
      <c r="I5661" s="12"/>
      <c r="N5661" s="12"/>
      <c r="S5661" s="12"/>
      <c r="X5661" s="12"/>
      <c r="AM5661" s="12"/>
    </row>
    <row r="5662" spans="9:39" x14ac:dyDescent="0.3">
      <c r="I5662" s="12"/>
      <c r="N5662" s="12"/>
      <c r="S5662" s="12"/>
      <c r="X5662" s="12"/>
      <c r="AM5662" s="12"/>
    </row>
    <row r="5663" spans="9:39" x14ac:dyDescent="0.3">
      <c r="I5663" s="12"/>
      <c r="N5663" s="12"/>
      <c r="S5663" s="12"/>
      <c r="X5663" s="12"/>
      <c r="AM5663" s="12"/>
    </row>
    <row r="5664" spans="9:39" x14ac:dyDescent="0.3">
      <c r="I5664" s="12"/>
      <c r="N5664" s="12"/>
      <c r="S5664" s="12"/>
      <c r="X5664" s="12"/>
      <c r="AM5664" s="12"/>
    </row>
    <row r="5665" spans="9:39" x14ac:dyDescent="0.3">
      <c r="I5665" s="12"/>
      <c r="N5665" s="12"/>
      <c r="S5665" s="12"/>
      <c r="X5665" s="12"/>
      <c r="AM5665" s="12"/>
    </row>
    <row r="5666" spans="9:39" x14ac:dyDescent="0.3">
      <c r="I5666" s="12"/>
      <c r="N5666" s="12"/>
      <c r="S5666" s="12"/>
      <c r="X5666" s="12"/>
      <c r="AM5666" s="12"/>
    </row>
    <row r="5667" spans="9:39" x14ac:dyDescent="0.3">
      <c r="I5667" s="12"/>
      <c r="N5667" s="12"/>
      <c r="S5667" s="12"/>
      <c r="X5667" s="12"/>
      <c r="AM5667" s="12"/>
    </row>
    <row r="5668" spans="9:39" x14ac:dyDescent="0.3">
      <c r="I5668" s="12"/>
      <c r="N5668" s="12"/>
      <c r="S5668" s="12"/>
      <c r="X5668" s="12"/>
      <c r="AM5668" s="12"/>
    </row>
    <row r="5669" spans="9:39" x14ac:dyDescent="0.3">
      <c r="I5669" s="12"/>
      <c r="N5669" s="12"/>
      <c r="S5669" s="12"/>
      <c r="X5669" s="12"/>
      <c r="AM5669" s="12"/>
    </row>
    <row r="5670" spans="9:39" x14ac:dyDescent="0.3">
      <c r="I5670" s="12"/>
      <c r="N5670" s="12"/>
      <c r="S5670" s="12"/>
      <c r="X5670" s="12"/>
      <c r="AM5670" s="12"/>
    </row>
    <row r="5671" spans="9:39" x14ac:dyDescent="0.3">
      <c r="I5671" s="12"/>
      <c r="N5671" s="12"/>
      <c r="S5671" s="12"/>
      <c r="X5671" s="12"/>
      <c r="AM5671" s="12"/>
    </row>
    <row r="5672" spans="9:39" x14ac:dyDescent="0.3">
      <c r="I5672" s="12"/>
      <c r="N5672" s="12"/>
      <c r="S5672" s="12"/>
      <c r="X5672" s="12"/>
      <c r="AM5672" s="12"/>
    </row>
    <row r="5673" spans="9:39" x14ac:dyDescent="0.3">
      <c r="I5673" s="12"/>
      <c r="N5673" s="12"/>
      <c r="S5673" s="12"/>
      <c r="X5673" s="12"/>
      <c r="AM5673" s="12"/>
    </row>
    <row r="5674" spans="9:39" x14ac:dyDescent="0.3">
      <c r="I5674" s="12"/>
      <c r="N5674" s="12"/>
      <c r="S5674" s="12"/>
      <c r="X5674" s="12"/>
      <c r="AM5674" s="12"/>
    </row>
    <row r="5675" spans="9:39" x14ac:dyDescent="0.3">
      <c r="I5675" s="12"/>
      <c r="N5675" s="12"/>
      <c r="S5675" s="12"/>
      <c r="X5675" s="12"/>
      <c r="AM5675" s="12"/>
    </row>
    <row r="5676" spans="9:39" x14ac:dyDescent="0.3">
      <c r="I5676" s="12"/>
      <c r="N5676" s="12"/>
      <c r="S5676" s="12"/>
      <c r="X5676" s="12"/>
      <c r="AM5676" s="12"/>
    </row>
    <row r="5677" spans="9:39" x14ac:dyDescent="0.3">
      <c r="I5677" s="12"/>
      <c r="N5677" s="12"/>
      <c r="S5677" s="12"/>
      <c r="X5677" s="12"/>
      <c r="AM5677" s="12"/>
    </row>
    <row r="5678" spans="9:39" x14ac:dyDescent="0.3">
      <c r="I5678" s="12"/>
      <c r="N5678" s="12"/>
      <c r="S5678" s="12"/>
      <c r="X5678" s="12"/>
      <c r="AM5678" s="12"/>
    </row>
    <row r="5679" spans="9:39" x14ac:dyDescent="0.3">
      <c r="I5679" s="12"/>
      <c r="N5679" s="12"/>
      <c r="S5679" s="12"/>
      <c r="X5679" s="12"/>
      <c r="AM5679" s="12"/>
    </row>
    <row r="5680" spans="9:39" x14ac:dyDescent="0.3">
      <c r="I5680" s="12"/>
      <c r="N5680" s="12"/>
      <c r="S5680" s="12"/>
      <c r="X5680" s="12"/>
      <c r="AM5680" s="12"/>
    </row>
    <row r="5681" spans="9:39" x14ac:dyDescent="0.3">
      <c r="I5681" s="12"/>
      <c r="N5681" s="12"/>
      <c r="S5681" s="12"/>
      <c r="X5681" s="12"/>
      <c r="AM5681" s="12"/>
    </row>
    <row r="5682" spans="9:39" x14ac:dyDescent="0.3">
      <c r="I5682" s="12"/>
      <c r="N5682" s="12"/>
      <c r="S5682" s="12"/>
      <c r="X5682" s="12"/>
      <c r="AM5682" s="12"/>
    </row>
    <row r="5683" spans="9:39" x14ac:dyDescent="0.3">
      <c r="I5683" s="12"/>
      <c r="N5683" s="12"/>
      <c r="S5683" s="12"/>
      <c r="X5683" s="12"/>
      <c r="AM5683" s="12"/>
    </row>
    <row r="5684" spans="9:39" x14ac:dyDescent="0.3">
      <c r="I5684" s="12"/>
      <c r="N5684" s="12"/>
      <c r="S5684" s="12"/>
      <c r="X5684" s="12"/>
      <c r="AM5684" s="12"/>
    </row>
    <row r="5685" spans="9:39" x14ac:dyDescent="0.3">
      <c r="I5685" s="12"/>
      <c r="N5685" s="12"/>
      <c r="S5685" s="12"/>
      <c r="X5685" s="12"/>
      <c r="AM5685" s="12"/>
    </row>
    <row r="5686" spans="9:39" x14ac:dyDescent="0.3">
      <c r="I5686" s="12"/>
      <c r="N5686" s="12"/>
      <c r="S5686" s="12"/>
      <c r="X5686" s="12"/>
      <c r="AM5686" s="12"/>
    </row>
    <row r="5687" spans="9:39" x14ac:dyDescent="0.3">
      <c r="I5687" s="12"/>
      <c r="N5687" s="12"/>
      <c r="S5687" s="12"/>
      <c r="X5687" s="12"/>
      <c r="AM5687" s="12"/>
    </row>
    <row r="5688" spans="9:39" x14ac:dyDescent="0.3">
      <c r="I5688" s="12"/>
      <c r="N5688" s="12"/>
      <c r="S5688" s="12"/>
      <c r="X5688" s="12"/>
      <c r="AM5688" s="12"/>
    </row>
    <row r="5689" spans="9:39" x14ac:dyDescent="0.3">
      <c r="I5689" s="12"/>
      <c r="N5689" s="12"/>
      <c r="S5689" s="12"/>
      <c r="X5689" s="12"/>
      <c r="AM5689" s="12"/>
    </row>
    <row r="5690" spans="9:39" x14ac:dyDescent="0.3">
      <c r="I5690" s="12"/>
      <c r="N5690" s="12"/>
      <c r="S5690" s="12"/>
      <c r="X5690" s="12"/>
      <c r="AM5690" s="12"/>
    </row>
    <row r="5691" spans="9:39" x14ac:dyDescent="0.3">
      <c r="I5691" s="12"/>
      <c r="N5691" s="12"/>
      <c r="S5691" s="12"/>
      <c r="X5691" s="12"/>
      <c r="AM5691" s="12"/>
    </row>
    <row r="5692" spans="9:39" x14ac:dyDescent="0.3">
      <c r="I5692" s="12"/>
      <c r="N5692" s="12"/>
      <c r="S5692" s="12"/>
      <c r="X5692" s="12"/>
      <c r="AM5692" s="12"/>
    </row>
    <row r="5693" spans="9:39" x14ac:dyDescent="0.3">
      <c r="I5693" s="12"/>
      <c r="N5693" s="12"/>
      <c r="S5693" s="12"/>
      <c r="X5693" s="12"/>
      <c r="AM5693" s="12"/>
    </row>
    <row r="5694" spans="9:39" x14ac:dyDescent="0.3">
      <c r="I5694" s="12"/>
      <c r="N5694" s="12"/>
      <c r="S5694" s="12"/>
      <c r="X5694" s="12"/>
      <c r="AM5694" s="12"/>
    </row>
    <row r="5695" spans="9:39" x14ac:dyDescent="0.3">
      <c r="I5695" s="12"/>
      <c r="N5695" s="12"/>
      <c r="S5695" s="12"/>
      <c r="X5695" s="12"/>
      <c r="AM5695" s="12"/>
    </row>
    <row r="5696" spans="9:39" x14ac:dyDescent="0.3">
      <c r="I5696" s="12"/>
      <c r="N5696" s="12"/>
      <c r="S5696" s="12"/>
      <c r="X5696" s="12"/>
      <c r="AM5696" s="12"/>
    </row>
    <row r="5697" spans="9:39" x14ac:dyDescent="0.3">
      <c r="I5697" s="12"/>
      <c r="N5697" s="12"/>
      <c r="S5697" s="12"/>
      <c r="X5697" s="12"/>
      <c r="AM5697" s="12"/>
    </row>
    <row r="5698" spans="9:39" x14ac:dyDescent="0.3">
      <c r="I5698" s="12"/>
      <c r="N5698" s="12"/>
      <c r="S5698" s="12"/>
      <c r="X5698" s="12"/>
      <c r="AM5698" s="12"/>
    </row>
    <row r="5699" spans="9:39" x14ac:dyDescent="0.3">
      <c r="I5699" s="12"/>
      <c r="N5699" s="12"/>
      <c r="S5699" s="12"/>
      <c r="X5699" s="12"/>
      <c r="AM5699" s="12"/>
    </row>
    <row r="5700" spans="9:39" x14ac:dyDescent="0.3">
      <c r="I5700" s="12"/>
      <c r="N5700" s="12"/>
      <c r="S5700" s="12"/>
      <c r="X5700" s="12"/>
      <c r="AM5700" s="12"/>
    </row>
    <row r="5701" spans="9:39" x14ac:dyDescent="0.3">
      <c r="I5701" s="12"/>
      <c r="N5701" s="12"/>
      <c r="S5701" s="12"/>
      <c r="X5701" s="12"/>
      <c r="AM5701" s="12"/>
    </row>
    <row r="5702" spans="9:39" x14ac:dyDescent="0.3">
      <c r="I5702" s="12"/>
      <c r="N5702" s="12"/>
      <c r="S5702" s="12"/>
      <c r="X5702" s="12"/>
      <c r="AM5702" s="12"/>
    </row>
    <row r="5703" spans="9:39" x14ac:dyDescent="0.3">
      <c r="I5703" s="12"/>
      <c r="N5703" s="12"/>
      <c r="S5703" s="12"/>
      <c r="X5703" s="12"/>
      <c r="AM5703" s="12"/>
    </row>
    <row r="5704" spans="9:39" x14ac:dyDescent="0.3">
      <c r="I5704" s="12"/>
      <c r="N5704" s="12"/>
      <c r="S5704" s="12"/>
      <c r="X5704" s="12"/>
      <c r="AM5704" s="12"/>
    </row>
    <row r="5705" spans="9:39" x14ac:dyDescent="0.3">
      <c r="I5705" s="12"/>
      <c r="N5705" s="12"/>
      <c r="S5705" s="12"/>
      <c r="X5705" s="12"/>
      <c r="AM5705" s="12"/>
    </row>
    <row r="5706" spans="9:39" x14ac:dyDescent="0.3">
      <c r="I5706" s="12"/>
      <c r="N5706" s="12"/>
      <c r="S5706" s="12"/>
      <c r="X5706" s="12"/>
      <c r="AM5706" s="12"/>
    </row>
    <row r="5707" spans="9:39" x14ac:dyDescent="0.3">
      <c r="I5707" s="12"/>
      <c r="N5707" s="12"/>
      <c r="S5707" s="12"/>
      <c r="X5707" s="12"/>
      <c r="AM5707" s="12"/>
    </row>
    <row r="5708" spans="9:39" x14ac:dyDescent="0.3">
      <c r="I5708" s="12"/>
      <c r="N5708" s="12"/>
      <c r="S5708" s="12"/>
      <c r="X5708" s="12"/>
      <c r="AM5708" s="12"/>
    </row>
    <row r="5709" spans="9:39" x14ac:dyDescent="0.3">
      <c r="I5709" s="12"/>
      <c r="N5709" s="12"/>
      <c r="S5709" s="12"/>
      <c r="X5709" s="12"/>
      <c r="AM5709" s="12"/>
    </row>
    <row r="5710" spans="9:39" x14ac:dyDescent="0.3">
      <c r="I5710" s="12"/>
      <c r="N5710" s="12"/>
      <c r="S5710" s="12"/>
      <c r="X5710" s="12"/>
      <c r="AM5710" s="12"/>
    </row>
    <row r="5711" spans="9:39" x14ac:dyDescent="0.3">
      <c r="I5711" s="12"/>
      <c r="N5711" s="12"/>
      <c r="S5711" s="12"/>
      <c r="X5711" s="12"/>
      <c r="AM5711" s="12"/>
    </row>
    <row r="5712" spans="9:39" x14ac:dyDescent="0.3">
      <c r="I5712" s="12"/>
      <c r="N5712" s="12"/>
      <c r="S5712" s="12"/>
      <c r="X5712" s="12"/>
      <c r="AM5712" s="12"/>
    </row>
    <row r="5713" spans="9:39" x14ac:dyDescent="0.3">
      <c r="I5713" s="12"/>
      <c r="N5713" s="12"/>
      <c r="S5713" s="12"/>
      <c r="X5713" s="12"/>
      <c r="AM5713" s="12"/>
    </row>
    <row r="5714" spans="9:39" x14ac:dyDescent="0.3">
      <c r="I5714" s="12"/>
      <c r="N5714" s="12"/>
      <c r="S5714" s="12"/>
      <c r="X5714" s="12"/>
      <c r="AM5714" s="12"/>
    </row>
    <row r="5715" spans="9:39" x14ac:dyDescent="0.3">
      <c r="I5715" s="12"/>
      <c r="N5715" s="12"/>
      <c r="S5715" s="12"/>
      <c r="X5715" s="12"/>
      <c r="AM5715" s="12"/>
    </row>
    <row r="5716" spans="9:39" x14ac:dyDescent="0.3">
      <c r="I5716" s="12"/>
      <c r="N5716" s="12"/>
      <c r="S5716" s="12"/>
      <c r="X5716" s="12"/>
      <c r="AM5716" s="12"/>
    </row>
    <row r="5717" spans="9:39" x14ac:dyDescent="0.3">
      <c r="I5717" s="12"/>
      <c r="N5717" s="12"/>
      <c r="S5717" s="12"/>
      <c r="X5717" s="12"/>
      <c r="AM5717" s="12"/>
    </row>
    <row r="5718" spans="9:39" x14ac:dyDescent="0.3">
      <c r="I5718" s="12"/>
      <c r="N5718" s="12"/>
      <c r="S5718" s="12"/>
      <c r="X5718" s="12"/>
      <c r="AM5718" s="12"/>
    </row>
    <row r="5719" spans="9:39" x14ac:dyDescent="0.3">
      <c r="I5719" s="12"/>
      <c r="N5719" s="12"/>
      <c r="S5719" s="12"/>
      <c r="X5719" s="12"/>
      <c r="AM5719" s="12"/>
    </row>
    <row r="5720" spans="9:39" x14ac:dyDescent="0.3">
      <c r="I5720" s="12"/>
      <c r="N5720" s="12"/>
      <c r="S5720" s="12"/>
      <c r="X5720" s="12"/>
      <c r="AM5720" s="12"/>
    </row>
    <row r="5721" spans="9:39" x14ac:dyDescent="0.3">
      <c r="I5721" s="12"/>
      <c r="N5721" s="12"/>
      <c r="S5721" s="12"/>
      <c r="X5721" s="12"/>
      <c r="AM5721" s="12"/>
    </row>
    <row r="5722" spans="9:39" x14ac:dyDescent="0.3">
      <c r="I5722" s="12"/>
      <c r="N5722" s="12"/>
      <c r="S5722" s="12"/>
      <c r="X5722" s="12"/>
      <c r="AM5722" s="12"/>
    </row>
    <row r="5723" spans="9:39" x14ac:dyDescent="0.3">
      <c r="I5723" s="12"/>
      <c r="N5723" s="12"/>
      <c r="S5723" s="12"/>
      <c r="X5723" s="12"/>
      <c r="AM5723" s="12"/>
    </row>
    <row r="5724" spans="9:39" x14ac:dyDescent="0.3">
      <c r="I5724" s="12"/>
      <c r="N5724" s="12"/>
      <c r="S5724" s="12"/>
      <c r="X5724" s="12"/>
      <c r="AM5724" s="12"/>
    </row>
    <row r="5725" spans="9:39" x14ac:dyDescent="0.3">
      <c r="I5725" s="12"/>
      <c r="N5725" s="12"/>
      <c r="S5725" s="12"/>
      <c r="X5725" s="12"/>
      <c r="AM5725" s="12"/>
    </row>
    <row r="5726" spans="9:39" x14ac:dyDescent="0.3">
      <c r="I5726" s="12"/>
      <c r="N5726" s="12"/>
      <c r="S5726" s="12"/>
      <c r="X5726" s="12"/>
      <c r="AM5726" s="12"/>
    </row>
    <row r="5727" spans="9:39" x14ac:dyDescent="0.3">
      <c r="I5727" s="12"/>
      <c r="N5727" s="12"/>
      <c r="S5727" s="12"/>
      <c r="X5727" s="12"/>
      <c r="AM5727" s="12"/>
    </row>
    <row r="5728" spans="9:39" x14ac:dyDescent="0.3">
      <c r="I5728" s="12"/>
      <c r="N5728" s="12"/>
      <c r="S5728" s="12"/>
      <c r="X5728" s="12"/>
      <c r="AM5728" s="12"/>
    </row>
    <row r="5729" spans="9:39" x14ac:dyDescent="0.3">
      <c r="I5729" s="12"/>
      <c r="N5729" s="12"/>
      <c r="S5729" s="12"/>
      <c r="X5729" s="12"/>
      <c r="AM5729" s="12"/>
    </row>
    <row r="5730" spans="9:39" x14ac:dyDescent="0.3">
      <c r="I5730" s="12"/>
      <c r="N5730" s="12"/>
      <c r="S5730" s="12"/>
      <c r="X5730" s="12"/>
      <c r="AM5730" s="12"/>
    </row>
    <row r="5731" spans="9:39" x14ac:dyDescent="0.3">
      <c r="I5731" s="12"/>
      <c r="N5731" s="12"/>
      <c r="S5731" s="12"/>
      <c r="X5731" s="12"/>
      <c r="AM5731" s="12"/>
    </row>
    <row r="5732" spans="9:39" x14ac:dyDescent="0.3">
      <c r="I5732" s="12"/>
      <c r="N5732" s="12"/>
      <c r="S5732" s="12"/>
      <c r="X5732" s="12"/>
      <c r="AM5732" s="12"/>
    </row>
    <row r="5733" spans="9:39" x14ac:dyDescent="0.3">
      <c r="I5733" s="12"/>
      <c r="N5733" s="12"/>
      <c r="S5733" s="12"/>
      <c r="X5733" s="12"/>
      <c r="AM5733" s="12"/>
    </row>
    <row r="5734" spans="9:39" x14ac:dyDescent="0.3">
      <c r="I5734" s="12"/>
      <c r="N5734" s="12"/>
      <c r="S5734" s="12"/>
      <c r="X5734" s="12"/>
      <c r="AM5734" s="12"/>
    </row>
    <row r="5735" spans="9:39" x14ac:dyDescent="0.3">
      <c r="I5735" s="12"/>
      <c r="N5735" s="12"/>
      <c r="S5735" s="12"/>
      <c r="X5735" s="12"/>
      <c r="AM5735" s="12"/>
    </row>
    <row r="5736" spans="9:39" x14ac:dyDescent="0.3">
      <c r="I5736" s="12"/>
      <c r="N5736" s="12"/>
      <c r="S5736" s="12"/>
      <c r="X5736" s="12"/>
      <c r="AM5736" s="12"/>
    </row>
    <row r="5737" spans="9:39" x14ac:dyDescent="0.3">
      <c r="I5737" s="12"/>
      <c r="N5737" s="12"/>
      <c r="S5737" s="12"/>
      <c r="X5737" s="12"/>
      <c r="AM5737" s="12"/>
    </row>
    <row r="5738" spans="9:39" x14ac:dyDescent="0.3">
      <c r="I5738" s="12"/>
      <c r="N5738" s="12"/>
      <c r="S5738" s="12"/>
      <c r="X5738" s="12"/>
      <c r="AM5738" s="12"/>
    </row>
    <row r="5739" spans="9:39" x14ac:dyDescent="0.3">
      <c r="I5739" s="12"/>
      <c r="N5739" s="12"/>
      <c r="S5739" s="12"/>
      <c r="X5739" s="12"/>
      <c r="AM5739" s="12"/>
    </row>
    <row r="5740" spans="9:39" x14ac:dyDescent="0.3">
      <c r="I5740" s="12"/>
      <c r="N5740" s="12"/>
      <c r="S5740" s="12"/>
      <c r="X5740" s="12"/>
      <c r="AM5740" s="12"/>
    </row>
    <row r="5741" spans="9:39" x14ac:dyDescent="0.3">
      <c r="I5741" s="12"/>
      <c r="N5741" s="12"/>
      <c r="S5741" s="12"/>
      <c r="X5741" s="12"/>
      <c r="AM5741" s="12"/>
    </row>
    <row r="5742" spans="9:39" x14ac:dyDescent="0.3">
      <c r="I5742" s="12"/>
      <c r="N5742" s="12"/>
      <c r="S5742" s="12"/>
      <c r="X5742" s="12"/>
      <c r="AM5742" s="12"/>
    </row>
    <row r="5743" spans="9:39" x14ac:dyDescent="0.3">
      <c r="I5743" s="12"/>
      <c r="N5743" s="12"/>
      <c r="S5743" s="12"/>
      <c r="X5743" s="12"/>
      <c r="AM5743" s="12"/>
    </row>
    <row r="5744" spans="9:39" x14ac:dyDescent="0.3">
      <c r="I5744" s="12"/>
      <c r="N5744" s="12"/>
      <c r="S5744" s="12"/>
      <c r="X5744" s="12"/>
      <c r="AM5744" s="12"/>
    </row>
    <row r="5745" spans="9:39" x14ac:dyDescent="0.3">
      <c r="I5745" s="12"/>
      <c r="N5745" s="12"/>
      <c r="S5745" s="12"/>
      <c r="X5745" s="12"/>
      <c r="AM5745" s="12"/>
    </row>
    <row r="5746" spans="9:39" x14ac:dyDescent="0.3">
      <c r="I5746" s="12"/>
      <c r="N5746" s="12"/>
      <c r="S5746" s="12"/>
      <c r="X5746" s="12"/>
      <c r="AM5746" s="12"/>
    </row>
    <row r="5747" spans="9:39" x14ac:dyDescent="0.3">
      <c r="I5747" s="12"/>
      <c r="N5747" s="12"/>
      <c r="S5747" s="12"/>
      <c r="X5747" s="12"/>
      <c r="AM5747" s="12"/>
    </row>
    <row r="5748" spans="9:39" x14ac:dyDescent="0.3">
      <c r="I5748" s="12"/>
      <c r="N5748" s="12"/>
      <c r="S5748" s="12"/>
      <c r="X5748" s="12"/>
      <c r="AM5748" s="12"/>
    </row>
    <row r="5749" spans="9:39" x14ac:dyDescent="0.3">
      <c r="I5749" s="12"/>
      <c r="N5749" s="12"/>
      <c r="S5749" s="12"/>
      <c r="X5749" s="12"/>
      <c r="AM5749" s="12"/>
    </row>
    <row r="5750" spans="9:39" x14ac:dyDescent="0.3">
      <c r="I5750" s="12"/>
      <c r="N5750" s="12"/>
      <c r="S5750" s="12"/>
      <c r="X5750" s="12"/>
      <c r="AM5750" s="12"/>
    </row>
    <row r="5751" spans="9:39" x14ac:dyDescent="0.3">
      <c r="I5751" s="12"/>
      <c r="N5751" s="12"/>
      <c r="S5751" s="12"/>
      <c r="X5751" s="12"/>
      <c r="AM5751" s="12"/>
    </row>
    <row r="5752" spans="9:39" x14ac:dyDescent="0.3">
      <c r="I5752" s="12"/>
      <c r="N5752" s="12"/>
      <c r="S5752" s="12"/>
      <c r="X5752" s="12"/>
      <c r="AM5752" s="12"/>
    </row>
    <row r="5753" spans="9:39" x14ac:dyDescent="0.3">
      <c r="I5753" s="12"/>
      <c r="N5753" s="12"/>
      <c r="S5753" s="12"/>
      <c r="X5753" s="12"/>
      <c r="AM5753" s="12"/>
    </row>
    <row r="5754" spans="9:39" x14ac:dyDescent="0.3">
      <c r="I5754" s="12"/>
      <c r="N5754" s="12"/>
      <c r="S5754" s="12"/>
      <c r="X5754" s="12"/>
      <c r="AM5754" s="12"/>
    </row>
    <row r="5755" spans="9:39" x14ac:dyDescent="0.3">
      <c r="I5755" s="12"/>
      <c r="N5755" s="12"/>
      <c r="S5755" s="12"/>
      <c r="X5755" s="12"/>
      <c r="AM5755" s="12"/>
    </row>
    <row r="5756" spans="9:39" x14ac:dyDescent="0.3">
      <c r="I5756" s="12"/>
      <c r="N5756" s="12"/>
      <c r="S5756" s="12"/>
      <c r="X5756" s="12"/>
      <c r="AM5756" s="12"/>
    </row>
    <row r="5757" spans="9:39" x14ac:dyDescent="0.3">
      <c r="I5757" s="12"/>
      <c r="N5757" s="12"/>
      <c r="S5757" s="12"/>
      <c r="X5757" s="12"/>
      <c r="AM5757" s="12"/>
    </row>
    <row r="5758" spans="9:39" x14ac:dyDescent="0.3">
      <c r="I5758" s="12"/>
      <c r="N5758" s="12"/>
      <c r="S5758" s="12"/>
      <c r="X5758" s="12"/>
      <c r="AM5758" s="12"/>
    </row>
    <row r="5759" spans="9:39" x14ac:dyDescent="0.3">
      <c r="I5759" s="12"/>
      <c r="N5759" s="12"/>
      <c r="S5759" s="12"/>
      <c r="X5759" s="12"/>
      <c r="AM5759" s="12"/>
    </row>
    <row r="5760" spans="9:39" x14ac:dyDescent="0.3">
      <c r="I5760" s="12"/>
      <c r="N5760" s="12"/>
      <c r="S5760" s="12"/>
      <c r="X5760" s="12"/>
      <c r="AM5760" s="12"/>
    </row>
    <row r="5761" spans="9:39" x14ac:dyDescent="0.3">
      <c r="I5761" s="12"/>
      <c r="N5761" s="12"/>
      <c r="S5761" s="12"/>
      <c r="X5761" s="12"/>
      <c r="AM5761" s="12"/>
    </row>
    <row r="5762" spans="9:39" x14ac:dyDescent="0.3">
      <c r="I5762" s="12"/>
      <c r="N5762" s="12"/>
      <c r="S5762" s="12"/>
      <c r="X5762" s="12"/>
      <c r="AM5762" s="12"/>
    </row>
    <row r="5763" spans="9:39" x14ac:dyDescent="0.3">
      <c r="I5763" s="12"/>
      <c r="N5763" s="12"/>
      <c r="S5763" s="12"/>
      <c r="X5763" s="12"/>
      <c r="AM5763" s="12"/>
    </row>
    <row r="5764" spans="9:39" x14ac:dyDescent="0.3">
      <c r="I5764" s="12"/>
      <c r="N5764" s="12"/>
      <c r="S5764" s="12"/>
      <c r="X5764" s="12"/>
      <c r="AM5764" s="12"/>
    </row>
    <row r="5765" spans="9:39" x14ac:dyDescent="0.3">
      <c r="I5765" s="12"/>
      <c r="N5765" s="12"/>
      <c r="S5765" s="12"/>
      <c r="X5765" s="12"/>
      <c r="AM5765" s="12"/>
    </row>
    <row r="5766" spans="9:39" x14ac:dyDescent="0.3">
      <c r="I5766" s="12"/>
      <c r="N5766" s="12"/>
      <c r="S5766" s="12"/>
      <c r="X5766" s="12"/>
      <c r="AM5766" s="12"/>
    </row>
    <row r="5767" spans="9:39" x14ac:dyDescent="0.3">
      <c r="I5767" s="12"/>
      <c r="N5767" s="12"/>
      <c r="S5767" s="12"/>
      <c r="X5767" s="12"/>
      <c r="AM5767" s="12"/>
    </row>
    <row r="5768" spans="9:39" x14ac:dyDescent="0.3">
      <c r="I5768" s="12"/>
      <c r="N5768" s="12"/>
      <c r="S5768" s="12"/>
      <c r="X5768" s="12"/>
      <c r="AM5768" s="12"/>
    </row>
    <row r="5769" spans="9:39" x14ac:dyDescent="0.3">
      <c r="I5769" s="12"/>
      <c r="N5769" s="12"/>
      <c r="S5769" s="12"/>
      <c r="X5769" s="12"/>
      <c r="AM5769" s="12"/>
    </row>
    <row r="5770" spans="9:39" x14ac:dyDescent="0.3">
      <c r="I5770" s="12"/>
      <c r="N5770" s="12"/>
      <c r="S5770" s="12"/>
      <c r="X5770" s="12"/>
      <c r="AM5770" s="12"/>
    </row>
    <row r="5771" spans="9:39" x14ac:dyDescent="0.3">
      <c r="I5771" s="12"/>
      <c r="N5771" s="12"/>
      <c r="S5771" s="12"/>
      <c r="X5771" s="12"/>
      <c r="AM5771" s="12"/>
    </row>
    <row r="5772" spans="9:39" x14ac:dyDescent="0.3">
      <c r="I5772" s="12"/>
      <c r="N5772" s="12"/>
      <c r="S5772" s="12"/>
      <c r="X5772" s="12"/>
      <c r="AM5772" s="12"/>
    </row>
    <row r="5773" spans="9:39" x14ac:dyDescent="0.3">
      <c r="I5773" s="12"/>
      <c r="N5773" s="12"/>
      <c r="S5773" s="12"/>
      <c r="X5773" s="12"/>
      <c r="AM5773" s="12"/>
    </row>
    <row r="5774" spans="9:39" x14ac:dyDescent="0.3">
      <c r="I5774" s="12"/>
      <c r="N5774" s="12"/>
      <c r="S5774" s="12"/>
      <c r="X5774" s="12"/>
      <c r="AM5774" s="12"/>
    </row>
    <row r="5775" spans="9:39" x14ac:dyDescent="0.3">
      <c r="I5775" s="12"/>
      <c r="N5775" s="12"/>
      <c r="S5775" s="12"/>
      <c r="X5775" s="12"/>
      <c r="AM5775" s="12"/>
    </row>
    <row r="5776" spans="9:39" x14ac:dyDescent="0.3">
      <c r="I5776" s="12"/>
      <c r="N5776" s="12"/>
      <c r="S5776" s="12"/>
      <c r="X5776" s="12"/>
      <c r="AM5776" s="12"/>
    </row>
    <row r="5777" spans="9:39" x14ac:dyDescent="0.3">
      <c r="I5777" s="12"/>
      <c r="N5777" s="12"/>
      <c r="S5777" s="12"/>
      <c r="X5777" s="12"/>
      <c r="AM5777" s="12"/>
    </row>
    <row r="5778" spans="9:39" x14ac:dyDescent="0.3">
      <c r="I5778" s="12"/>
      <c r="N5778" s="12"/>
      <c r="S5778" s="12"/>
      <c r="X5778" s="12"/>
      <c r="AM5778" s="12"/>
    </row>
    <row r="5779" spans="9:39" x14ac:dyDescent="0.3">
      <c r="I5779" s="12"/>
      <c r="N5779" s="12"/>
      <c r="S5779" s="12"/>
      <c r="X5779" s="12"/>
      <c r="AM5779" s="12"/>
    </row>
    <row r="5780" spans="9:39" x14ac:dyDescent="0.3">
      <c r="I5780" s="12"/>
      <c r="N5780" s="12"/>
      <c r="S5780" s="12"/>
      <c r="X5780" s="12"/>
      <c r="AM5780" s="12"/>
    </row>
    <row r="5781" spans="9:39" x14ac:dyDescent="0.3">
      <c r="I5781" s="12"/>
      <c r="N5781" s="12"/>
      <c r="S5781" s="12"/>
      <c r="X5781" s="12"/>
      <c r="AM5781" s="12"/>
    </row>
    <row r="5782" spans="9:39" x14ac:dyDescent="0.3">
      <c r="I5782" s="12"/>
      <c r="N5782" s="12"/>
      <c r="S5782" s="12"/>
      <c r="X5782" s="12"/>
      <c r="AM5782" s="12"/>
    </row>
    <row r="5783" spans="9:39" x14ac:dyDescent="0.3">
      <c r="I5783" s="12"/>
      <c r="N5783" s="12"/>
      <c r="S5783" s="12"/>
      <c r="X5783" s="12"/>
      <c r="AM5783" s="12"/>
    </row>
    <row r="5784" spans="9:39" x14ac:dyDescent="0.3">
      <c r="I5784" s="12"/>
      <c r="N5784" s="12"/>
      <c r="S5784" s="12"/>
      <c r="X5784" s="12"/>
      <c r="AM5784" s="12"/>
    </row>
    <row r="5785" spans="9:39" x14ac:dyDescent="0.3">
      <c r="I5785" s="12"/>
      <c r="N5785" s="12"/>
      <c r="S5785" s="12"/>
      <c r="X5785" s="12"/>
      <c r="AM5785" s="12"/>
    </row>
    <row r="5786" spans="9:39" x14ac:dyDescent="0.3">
      <c r="I5786" s="12"/>
      <c r="N5786" s="12"/>
      <c r="S5786" s="12"/>
      <c r="X5786" s="12"/>
      <c r="AM5786" s="12"/>
    </row>
    <row r="5787" spans="9:39" x14ac:dyDescent="0.3">
      <c r="I5787" s="12"/>
      <c r="N5787" s="12"/>
      <c r="S5787" s="12"/>
      <c r="X5787" s="12"/>
      <c r="AM5787" s="12"/>
    </row>
    <row r="5788" spans="9:39" x14ac:dyDescent="0.3">
      <c r="I5788" s="12"/>
      <c r="N5788" s="12"/>
      <c r="S5788" s="12"/>
      <c r="X5788" s="12"/>
      <c r="AM5788" s="12"/>
    </row>
    <row r="5789" spans="9:39" x14ac:dyDescent="0.3">
      <c r="I5789" s="12"/>
      <c r="N5789" s="12"/>
      <c r="S5789" s="12"/>
      <c r="X5789" s="12"/>
      <c r="AM5789" s="12"/>
    </row>
    <row r="5790" spans="9:39" x14ac:dyDescent="0.3">
      <c r="I5790" s="12"/>
      <c r="N5790" s="12"/>
      <c r="S5790" s="12"/>
      <c r="X5790" s="12"/>
      <c r="AM5790" s="12"/>
    </row>
    <row r="5791" spans="9:39" x14ac:dyDescent="0.3">
      <c r="I5791" s="12"/>
      <c r="N5791" s="12"/>
      <c r="S5791" s="12"/>
      <c r="X5791" s="12"/>
      <c r="AM5791" s="12"/>
    </row>
    <row r="5792" spans="9:39" x14ac:dyDescent="0.3">
      <c r="I5792" s="12"/>
      <c r="N5792" s="12"/>
      <c r="S5792" s="12"/>
      <c r="X5792" s="12"/>
      <c r="AM5792" s="12"/>
    </row>
    <row r="5793" spans="9:39" x14ac:dyDescent="0.3">
      <c r="I5793" s="12"/>
      <c r="N5793" s="12"/>
      <c r="S5793" s="12"/>
      <c r="X5793" s="12"/>
      <c r="AM5793" s="12"/>
    </row>
    <row r="5794" spans="9:39" x14ac:dyDescent="0.3">
      <c r="I5794" s="12"/>
      <c r="N5794" s="12"/>
      <c r="S5794" s="12"/>
      <c r="X5794" s="12"/>
      <c r="AM5794" s="12"/>
    </row>
    <row r="5795" spans="9:39" x14ac:dyDescent="0.3">
      <c r="I5795" s="12"/>
      <c r="N5795" s="12"/>
      <c r="S5795" s="12"/>
      <c r="X5795" s="12"/>
      <c r="AM5795" s="12"/>
    </row>
    <row r="5796" spans="9:39" x14ac:dyDescent="0.3">
      <c r="I5796" s="12"/>
      <c r="N5796" s="12"/>
      <c r="S5796" s="12"/>
      <c r="X5796" s="12"/>
      <c r="AM5796" s="12"/>
    </row>
    <row r="5797" spans="9:39" x14ac:dyDescent="0.3">
      <c r="I5797" s="12"/>
      <c r="N5797" s="12"/>
      <c r="S5797" s="12"/>
      <c r="X5797" s="12"/>
      <c r="AM5797" s="12"/>
    </row>
    <row r="5798" spans="9:39" x14ac:dyDescent="0.3">
      <c r="I5798" s="12"/>
      <c r="N5798" s="12"/>
      <c r="S5798" s="12"/>
      <c r="X5798" s="12"/>
      <c r="AM5798" s="12"/>
    </row>
    <row r="5799" spans="9:39" x14ac:dyDescent="0.3">
      <c r="I5799" s="12"/>
      <c r="N5799" s="12"/>
      <c r="S5799" s="12"/>
      <c r="X5799" s="12"/>
      <c r="AM5799" s="12"/>
    </row>
    <row r="5800" spans="9:39" x14ac:dyDescent="0.3">
      <c r="I5800" s="12"/>
      <c r="N5800" s="12"/>
      <c r="S5800" s="12"/>
      <c r="X5800" s="12"/>
      <c r="AM5800" s="12"/>
    </row>
    <row r="5801" spans="9:39" x14ac:dyDescent="0.3">
      <c r="I5801" s="12"/>
      <c r="N5801" s="12"/>
      <c r="S5801" s="12"/>
      <c r="X5801" s="12"/>
      <c r="AM5801" s="12"/>
    </row>
    <row r="5802" spans="9:39" x14ac:dyDescent="0.3">
      <c r="I5802" s="12"/>
      <c r="N5802" s="12"/>
      <c r="S5802" s="12"/>
      <c r="X5802" s="12"/>
      <c r="AM5802" s="12"/>
    </row>
    <row r="5803" spans="9:39" x14ac:dyDescent="0.3">
      <c r="I5803" s="12"/>
      <c r="N5803" s="12"/>
      <c r="S5803" s="12"/>
      <c r="X5803" s="12"/>
      <c r="AM5803" s="12"/>
    </row>
    <row r="5804" spans="9:39" x14ac:dyDescent="0.3">
      <c r="I5804" s="12"/>
      <c r="N5804" s="12"/>
      <c r="S5804" s="12"/>
      <c r="X5804" s="12"/>
      <c r="AM5804" s="12"/>
    </row>
    <row r="5805" spans="9:39" x14ac:dyDescent="0.3">
      <c r="I5805" s="12"/>
      <c r="N5805" s="12"/>
      <c r="S5805" s="12"/>
      <c r="X5805" s="12"/>
      <c r="AM5805" s="12"/>
    </row>
    <row r="5806" spans="9:39" x14ac:dyDescent="0.3">
      <c r="I5806" s="12"/>
      <c r="N5806" s="12"/>
      <c r="S5806" s="12"/>
      <c r="X5806" s="12"/>
      <c r="AM5806" s="12"/>
    </row>
    <row r="5807" spans="9:39" x14ac:dyDescent="0.3">
      <c r="I5807" s="12"/>
      <c r="N5807" s="12"/>
      <c r="S5807" s="12"/>
      <c r="X5807" s="12"/>
      <c r="AM5807" s="12"/>
    </row>
    <row r="5808" spans="9:39" x14ac:dyDescent="0.3">
      <c r="I5808" s="12"/>
      <c r="N5808" s="12"/>
      <c r="S5808" s="12"/>
      <c r="X5808" s="12"/>
      <c r="AM5808" s="12"/>
    </row>
    <row r="5809" spans="9:39" x14ac:dyDescent="0.3">
      <c r="I5809" s="12"/>
      <c r="N5809" s="12"/>
      <c r="S5809" s="12"/>
      <c r="X5809" s="12"/>
      <c r="AM5809" s="12"/>
    </row>
    <row r="5810" spans="9:39" x14ac:dyDescent="0.3">
      <c r="I5810" s="12"/>
      <c r="N5810" s="12"/>
      <c r="S5810" s="12"/>
      <c r="X5810" s="12"/>
      <c r="AM5810" s="12"/>
    </row>
    <row r="5811" spans="9:39" x14ac:dyDescent="0.3">
      <c r="I5811" s="12"/>
      <c r="N5811" s="12"/>
      <c r="S5811" s="12"/>
      <c r="X5811" s="12"/>
      <c r="AM5811" s="12"/>
    </row>
    <row r="5812" spans="9:39" x14ac:dyDescent="0.3">
      <c r="I5812" s="12"/>
      <c r="N5812" s="12"/>
      <c r="S5812" s="12"/>
      <c r="X5812" s="12"/>
      <c r="AM5812" s="12"/>
    </row>
    <row r="5813" spans="9:39" x14ac:dyDescent="0.3">
      <c r="I5813" s="12"/>
      <c r="N5813" s="12"/>
      <c r="S5813" s="12"/>
      <c r="X5813" s="12"/>
      <c r="AM5813" s="12"/>
    </row>
    <row r="5814" spans="9:39" x14ac:dyDescent="0.3">
      <c r="I5814" s="12"/>
      <c r="N5814" s="12"/>
      <c r="S5814" s="12"/>
      <c r="X5814" s="12"/>
      <c r="AM5814" s="12"/>
    </row>
    <row r="5815" spans="9:39" x14ac:dyDescent="0.3">
      <c r="I5815" s="12"/>
      <c r="N5815" s="12"/>
      <c r="S5815" s="12"/>
      <c r="X5815" s="12"/>
      <c r="AM5815" s="12"/>
    </row>
    <row r="5816" spans="9:39" x14ac:dyDescent="0.3">
      <c r="I5816" s="12"/>
      <c r="N5816" s="12"/>
      <c r="S5816" s="12"/>
      <c r="X5816" s="12"/>
      <c r="AM5816" s="12"/>
    </row>
    <row r="5817" spans="9:39" x14ac:dyDescent="0.3">
      <c r="I5817" s="12"/>
      <c r="N5817" s="12"/>
      <c r="S5817" s="12"/>
      <c r="X5817" s="12"/>
      <c r="AM5817" s="12"/>
    </row>
    <row r="5818" spans="9:39" x14ac:dyDescent="0.3">
      <c r="I5818" s="12"/>
      <c r="N5818" s="12"/>
      <c r="S5818" s="12"/>
      <c r="X5818" s="12"/>
      <c r="AM5818" s="12"/>
    </row>
    <row r="5819" spans="9:39" x14ac:dyDescent="0.3">
      <c r="I5819" s="12"/>
      <c r="N5819" s="12"/>
      <c r="S5819" s="12"/>
      <c r="X5819" s="12"/>
      <c r="AM5819" s="12"/>
    </row>
    <row r="5820" spans="9:39" x14ac:dyDescent="0.3">
      <c r="I5820" s="12"/>
      <c r="N5820" s="12"/>
      <c r="S5820" s="12"/>
      <c r="X5820" s="12"/>
      <c r="AM5820" s="12"/>
    </row>
    <row r="5821" spans="9:39" x14ac:dyDescent="0.3">
      <c r="I5821" s="12"/>
      <c r="N5821" s="12"/>
      <c r="S5821" s="12"/>
      <c r="X5821" s="12"/>
      <c r="AM5821" s="12"/>
    </row>
    <row r="5822" spans="9:39" x14ac:dyDescent="0.3">
      <c r="I5822" s="12"/>
      <c r="N5822" s="12"/>
      <c r="S5822" s="12"/>
      <c r="X5822" s="12"/>
      <c r="AM5822" s="12"/>
    </row>
    <row r="5823" spans="9:39" x14ac:dyDescent="0.3">
      <c r="I5823" s="12"/>
      <c r="N5823" s="12"/>
      <c r="S5823" s="12"/>
      <c r="X5823" s="12"/>
      <c r="AM5823" s="12"/>
    </row>
    <row r="5824" spans="9:39" x14ac:dyDescent="0.3">
      <c r="I5824" s="12"/>
      <c r="N5824" s="12"/>
      <c r="S5824" s="12"/>
      <c r="X5824" s="12"/>
      <c r="AM5824" s="12"/>
    </row>
    <row r="5825" spans="9:39" x14ac:dyDescent="0.3">
      <c r="I5825" s="12"/>
      <c r="N5825" s="12"/>
      <c r="S5825" s="12"/>
      <c r="X5825" s="12"/>
      <c r="AM5825" s="12"/>
    </row>
    <row r="5826" spans="9:39" x14ac:dyDescent="0.3">
      <c r="I5826" s="12"/>
      <c r="N5826" s="12"/>
      <c r="S5826" s="12"/>
      <c r="X5826" s="12"/>
      <c r="AM5826" s="12"/>
    </row>
    <row r="5827" spans="9:39" x14ac:dyDescent="0.3">
      <c r="I5827" s="12"/>
      <c r="N5827" s="12"/>
      <c r="S5827" s="12"/>
      <c r="X5827" s="12"/>
      <c r="AM5827" s="12"/>
    </row>
    <row r="5828" spans="9:39" x14ac:dyDescent="0.3">
      <c r="I5828" s="12"/>
      <c r="N5828" s="12"/>
      <c r="S5828" s="12"/>
      <c r="X5828" s="12"/>
      <c r="AM5828" s="12"/>
    </row>
    <row r="5829" spans="9:39" x14ac:dyDescent="0.3">
      <c r="I5829" s="12"/>
      <c r="N5829" s="12"/>
      <c r="S5829" s="12"/>
      <c r="X5829" s="12"/>
      <c r="AM5829" s="12"/>
    </row>
    <row r="5830" spans="9:39" x14ac:dyDescent="0.3">
      <c r="I5830" s="12"/>
      <c r="N5830" s="12"/>
      <c r="S5830" s="12"/>
      <c r="X5830" s="12"/>
      <c r="AM5830" s="12"/>
    </row>
    <row r="5831" spans="9:39" x14ac:dyDescent="0.3">
      <c r="I5831" s="12"/>
      <c r="N5831" s="12"/>
      <c r="S5831" s="12"/>
      <c r="X5831" s="12"/>
      <c r="AM5831" s="12"/>
    </row>
    <row r="5832" spans="9:39" x14ac:dyDescent="0.3">
      <c r="I5832" s="12"/>
      <c r="N5832" s="12"/>
      <c r="S5832" s="12"/>
      <c r="X5832" s="12"/>
      <c r="AM5832" s="12"/>
    </row>
    <row r="5833" spans="9:39" x14ac:dyDescent="0.3">
      <c r="I5833" s="12"/>
      <c r="N5833" s="12"/>
      <c r="S5833" s="12"/>
      <c r="X5833" s="12"/>
      <c r="AM5833" s="12"/>
    </row>
    <row r="5834" spans="9:39" x14ac:dyDescent="0.3">
      <c r="I5834" s="12"/>
      <c r="N5834" s="12"/>
      <c r="S5834" s="12"/>
      <c r="X5834" s="12"/>
      <c r="AM5834" s="12"/>
    </row>
    <row r="5835" spans="9:39" x14ac:dyDescent="0.3">
      <c r="I5835" s="12"/>
      <c r="N5835" s="12"/>
      <c r="S5835" s="12"/>
      <c r="X5835" s="12"/>
      <c r="AM5835" s="12"/>
    </row>
    <row r="5836" spans="9:39" x14ac:dyDescent="0.3">
      <c r="I5836" s="12"/>
      <c r="N5836" s="12"/>
      <c r="S5836" s="12"/>
      <c r="X5836" s="12"/>
      <c r="AM5836" s="12"/>
    </row>
    <row r="5837" spans="9:39" x14ac:dyDescent="0.3">
      <c r="I5837" s="12"/>
      <c r="N5837" s="12"/>
      <c r="S5837" s="12"/>
      <c r="X5837" s="12"/>
      <c r="AM5837" s="12"/>
    </row>
    <row r="5838" spans="9:39" x14ac:dyDescent="0.3">
      <c r="I5838" s="12"/>
      <c r="N5838" s="12"/>
      <c r="S5838" s="12"/>
      <c r="X5838" s="12"/>
      <c r="AM5838" s="12"/>
    </row>
    <row r="5839" spans="9:39" x14ac:dyDescent="0.3">
      <c r="I5839" s="12"/>
      <c r="N5839" s="12"/>
      <c r="S5839" s="12"/>
      <c r="X5839" s="12"/>
      <c r="AM5839" s="12"/>
    </row>
    <row r="5840" spans="9:39" x14ac:dyDescent="0.3">
      <c r="I5840" s="12"/>
      <c r="N5840" s="12"/>
      <c r="S5840" s="12"/>
      <c r="X5840" s="12"/>
      <c r="AM5840" s="12"/>
    </row>
    <row r="5841" spans="9:39" x14ac:dyDescent="0.3">
      <c r="I5841" s="12"/>
      <c r="N5841" s="12"/>
      <c r="S5841" s="12"/>
      <c r="X5841" s="12"/>
      <c r="AM5841" s="12"/>
    </row>
    <row r="5842" spans="9:39" x14ac:dyDescent="0.3">
      <c r="I5842" s="12"/>
      <c r="N5842" s="12"/>
      <c r="S5842" s="12"/>
      <c r="X5842" s="12"/>
      <c r="AM5842" s="12"/>
    </row>
    <row r="5843" spans="9:39" x14ac:dyDescent="0.3">
      <c r="I5843" s="12"/>
      <c r="N5843" s="12"/>
      <c r="S5843" s="12"/>
      <c r="X5843" s="12"/>
      <c r="AM5843" s="12"/>
    </row>
    <row r="5844" spans="9:39" x14ac:dyDescent="0.3">
      <c r="I5844" s="12"/>
      <c r="N5844" s="12"/>
      <c r="S5844" s="12"/>
      <c r="X5844" s="12"/>
      <c r="AM5844" s="12"/>
    </row>
    <row r="5845" spans="9:39" x14ac:dyDescent="0.3">
      <c r="I5845" s="12"/>
      <c r="N5845" s="12"/>
      <c r="S5845" s="12"/>
      <c r="X5845" s="12"/>
      <c r="AM5845" s="12"/>
    </row>
    <row r="5846" spans="9:39" x14ac:dyDescent="0.3">
      <c r="I5846" s="12"/>
      <c r="N5846" s="12"/>
      <c r="S5846" s="12"/>
      <c r="X5846" s="12"/>
      <c r="AM5846" s="12"/>
    </row>
    <row r="5847" spans="9:39" x14ac:dyDescent="0.3">
      <c r="I5847" s="12"/>
      <c r="N5847" s="12"/>
      <c r="S5847" s="12"/>
      <c r="X5847" s="12"/>
      <c r="AM5847" s="12"/>
    </row>
    <row r="5848" spans="9:39" x14ac:dyDescent="0.3">
      <c r="I5848" s="12"/>
      <c r="N5848" s="12"/>
      <c r="S5848" s="12"/>
      <c r="X5848" s="12"/>
      <c r="AM5848" s="12"/>
    </row>
    <row r="5849" spans="9:39" x14ac:dyDescent="0.3">
      <c r="I5849" s="12"/>
      <c r="N5849" s="12"/>
      <c r="S5849" s="12"/>
      <c r="X5849" s="12"/>
      <c r="AM5849" s="12"/>
    </row>
    <row r="5850" spans="9:39" x14ac:dyDescent="0.3">
      <c r="I5850" s="12"/>
      <c r="N5850" s="12"/>
      <c r="S5850" s="12"/>
      <c r="X5850" s="12"/>
      <c r="AM5850" s="12"/>
    </row>
    <row r="5851" spans="9:39" x14ac:dyDescent="0.3">
      <c r="I5851" s="12"/>
      <c r="N5851" s="12"/>
      <c r="S5851" s="12"/>
      <c r="X5851" s="12"/>
      <c r="AM5851" s="12"/>
    </row>
    <row r="5852" spans="9:39" x14ac:dyDescent="0.3">
      <c r="I5852" s="12"/>
      <c r="N5852" s="12"/>
      <c r="S5852" s="12"/>
      <c r="X5852" s="12"/>
      <c r="AM5852" s="12"/>
    </row>
    <row r="5853" spans="9:39" x14ac:dyDescent="0.3">
      <c r="I5853" s="12"/>
      <c r="N5853" s="12"/>
      <c r="S5853" s="12"/>
      <c r="X5853" s="12"/>
      <c r="AM5853" s="12"/>
    </row>
    <row r="5854" spans="9:39" x14ac:dyDescent="0.3">
      <c r="I5854" s="12"/>
      <c r="N5854" s="12"/>
      <c r="S5854" s="12"/>
      <c r="X5854" s="12"/>
      <c r="AM5854" s="12"/>
    </row>
    <row r="5855" spans="9:39" x14ac:dyDescent="0.3">
      <c r="I5855" s="12"/>
      <c r="N5855" s="12"/>
      <c r="S5855" s="12"/>
      <c r="X5855" s="12"/>
      <c r="AM5855" s="12"/>
    </row>
    <row r="5856" spans="9:39" x14ac:dyDescent="0.3">
      <c r="I5856" s="12"/>
      <c r="N5856" s="12"/>
      <c r="S5856" s="12"/>
      <c r="X5856" s="12"/>
      <c r="AM5856" s="12"/>
    </row>
    <row r="5857" spans="9:39" x14ac:dyDescent="0.3">
      <c r="I5857" s="12"/>
      <c r="N5857" s="12"/>
      <c r="S5857" s="12"/>
      <c r="X5857" s="12"/>
      <c r="AM5857" s="12"/>
    </row>
    <row r="5858" spans="9:39" x14ac:dyDescent="0.3">
      <c r="I5858" s="12"/>
      <c r="N5858" s="12"/>
      <c r="S5858" s="12"/>
      <c r="X5858" s="12"/>
      <c r="AM5858" s="12"/>
    </row>
    <row r="5859" spans="9:39" x14ac:dyDescent="0.3">
      <c r="I5859" s="12"/>
      <c r="N5859" s="12"/>
      <c r="S5859" s="12"/>
      <c r="X5859" s="12"/>
      <c r="AM5859" s="12"/>
    </row>
    <row r="5860" spans="9:39" x14ac:dyDescent="0.3">
      <c r="I5860" s="12"/>
      <c r="N5860" s="12"/>
      <c r="S5860" s="12"/>
      <c r="X5860" s="12"/>
      <c r="AM5860" s="12"/>
    </row>
    <row r="5861" spans="9:39" x14ac:dyDescent="0.3">
      <c r="I5861" s="12"/>
      <c r="N5861" s="12"/>
      <c r="S5861" s="12"/>
      <c r="X5861" s="12"/>
      <c r="AM5861" s="12"/>
    </row>
    <row r="5862" spans="9:39" x14ac:dyDescent="0.3">
      <c r="I5862" s="12"/>
      <c r="N5862" s="12"/>
      <c r="S5862" s="12"/>
      <c r="X5862" s="12"/>
      <c r="AM5862" s="12"/>
    </row>
    <row r="5863" spans="9:39" x14ac:dyDescent="0.3">
      <c r="I5863" s="12"/>
      <c r="N5863" s="12"/>
      <c r="S5863" s="12"/>
      <c r="X5863" s="12"/>
      <c r="AM5863" s="12"/>
    </row>
    <row r="5864" spans="9:39" x14ac:dyDescent="0.3">
      <c r="I5864" s="12"/>
      <c r="N5864" s="12"/>
      <c r="S5864" s="12"/>
      <c r="X5864" s="12"/>
      <c r="AM5864" s="12"/>
    </row>
    <row r="5865" spans="9:39" x14ac:dyDescent="0.3">
      <c r="I5865" s="12"/>
      <c r="N5865" s="12"/>
      <c r="S5865" s="12"/>
      <c r="X5865" s="12"/>
      <c r="AM5865" s="12"/>
    </row>
    <row r="5866" spans="9:39" x14ac:dyDescent="0.3">
      <c r="I5866" s="12"/>
      <c r="N5866" s="12"/>
      <c r="S5866" s="12"/>
      <c r="X5866" s="12"/>
      <c r="AM5866" s="12"/>
    </row>
    <row r="5867" spans="9:39" x14ac:dyDescent="0.3">
      <c r="I5867" s="12"/>
      <c r="N5867" s="12"/>
      <c r="S5867" s="12"/>
      <c r="X5867" s="12"/>
      <c r="AM5867" s="12"/>
    </row>
    <row r="5868" spans="9:39" x14ac:dyDescent="0.3">
      <c r="I5868" s="12"/>
      <c r="N5868" s="12"/>
      <c r="S5868" s="12"/>
      <c r="X5868" s="12"/>
      <c r="AM5868" s="12"/>
    </row>
    <row r="5869" spans="9:39" x14ac:dyDescent="0.3">
      <c r="I5869" s="12"/>
      <c r="N5869" s="12"/>
      <c r="S5869" s="12"/>
      <c r="X5869" s="12"/>
      <c r="AM5869" s="12"/>
    </row>
    <row r="5870" spans="9:39" x14ac:dyDescent="0.3">
      <c r="I5870" s="12"/>
      <c r="N5870" s="12"/>
      <c r="S5870" s="12"/>
      <c r="X5870" s="12"/>
      <c r="AM5870" s="12"/>
    </row>
    <row r="5871" spans="9:39" x14ac:dyDescent="0.3">
      <c r="I5871" s="12"/>
      <c r="N5871" s="12"/>
      <c r="S5871" s="12"/>
      <c r="X5871" s="12"/>
      <c r="AM5871" s="12"/>
    </row>
    <row r="5872" spans="9:39" x14ac:dyDescent="0.3">
      <c r="I5872" s="12"/>
      <c r="N5872" s="12"/>
      <c r="S5872" s="12"/>
      <c r="X5872" s="12"/>
      <c r="AM5872" s="12"/>
    </row>
    <row r="5873" spans="9:39" x14ac:dyDescent="0.3">
      <c r="I5873" s="12"/>
      <c r="N5873" s="12"/>
      <c r="S5873" s="12"/>
      <c r="X5873" s="12"/>
      <c r="AM5873" s="12"/>
    </row>
    <row r="5874" spans="9:39" x14ac:dyDescent="0.3">
      <c r="I5874" s="12"/>
      <c r="N5874" s="12"/>
      <c r="S5874" s="12"/>
      <c r="X5874" s="12"/>
      <c r="AM5874" s="12"/>
    </row>
    <row r="5875" spans="9:39" x14ac:dyDescent="0.3">
      <c r="I5875" s="12"/>
      <c r="N5875" s="12"/>
      <c r="S5875" s="12"/>
      <c r="X5875" s="12"/>
      <c r="AM5875" s="12"/>
    </row>
    <row r="5876" spans="9:39" x14ac:dyDescent="0.3">
      <c r="I5876" s="12"/>
      <c r="N5876" s="12"/>
      <c r="S5876" s="12"/>
      <c r="X5876" s="12"/>
      <c r="AM5876" s="12"/>
    </row>
    <row r="5877" spans="9:39" x14ac:dyDescent="0.3">
      <c r="I5877" s="12"/>
      <c r="N5877" s="12"/>
      <c r="S5877" s="12"/>
      <c r="X5877" s="12"/>
      <c r="AM5877" s="12"/>
    </row>
    <row r="5878" spans="9:39" x14ac:dyDescent="0.3">
      <c r="I5878" s="12"/>
      <c r="N5878" s="12"/>
      <c r="S5878" s="12"/>
      <c r="X5878" s="12"/>
      <c r="AM5878" s="12"/>
    </row>
    <row r="5879" spans="9:39" x14ac:dyDescent="0.3">
      <c r="I5879" s="12"/>
      <c r="N5879" s="12"/>
      <c r="S5879" s="12"/>
      <c r="X5879" s="12"/>
      <c r="AM5879" s="12"/>
    </row>
    <row r="5880" spans="9:39" x14ac:dyDescent="0.3">
      <c r="I5880" s="12"/>
      <c r="N5880" s="12"/>
      <c r="S5880" s="12"/>
      <c r="X5880" s="12"/>
      <c r="AM5880" s="12"/>
    </row>
    <row r="5881" spans="9:39" x14ac:dyDescent="0.3">
      <c r="I5881" s="12"/>
      <c r="N5881" s="12"/>
      <c r="S5881" s="12"/>
      <c r="X5881" s="12"/>
      <c r="AM5881" s="12"/>
    </row>
    <row r="5882" spans="9:39" x14ac:dyDescent="0.3">
      <c r="I5882" s="12"/>
      <c r="N5882" s="12"/>
      <c r="S5882" s="12"/>
      <c r="X5882" s="12"/>
      <c r="AM5882" s="12"/>
    </row>
    <row r="5883" spans="9:39" x14ac:dyDescent="0.3">
      <c r="I5883" s="12"/>
      <c r="N5883" s="12"/>
      <c r="S5883" s="12"/>
      <c r="X5883" s="12"/>
      <c r="AM5883" s="12"/>
    </row>
    <row r="5884" spans="9:39" x14ac:dyDescent="0.3">
      <c r="I5884" s="12"/>
      <c r="N5884" s="12"/>
      <c r="S5884" s="12"/>
      <c r="X5884" s="12"/>
      <c r="AM5884" s="12"/>
    </row>
    <row r="5885" spans="9:39" x14ac:dyDescent="0.3">
      <c r="I5885" s="12"/>
      <c r="N5885" s="12"/>
      <c r="S5885" s="12"/>
      <c r="X5885" s="12"/>
      <c r="AM5885" s="12"/>
    </row>
    <row r="5886" spans="9:39" x14ac:dyDescent="0.3">
      <c r="I5886" s="12"/>
      <c r="N5886" s="12"/>
      <c r="S5886" s="12"/>
      <c r="X5886" s="12"/>
      <c r="AM5886" s="12"/>
    </row>
    <row r="5887" spans="9:39" x14ac:dyDescent="0.3">
      <c r="I5887" s="12"/>
      <c r="N5887" s="12"/>
      <c r="S5887" s="12"/>
      <c r="X5887" s="12"/>
      <c r="AM5887" s="12"/>
    </row>
    <row r="5888" spans="9:39" x14ac:dyDescent="0.3">
      <c r="I5888" s="12"/>
      <c r="N5888" s="12"/>
      <c r="S5888" s="12"/>
      <c r="X5888" s="12"/>
      <c r="AM5888" s="12"/>
    </row>
    <row r="5889" spans="9:39" x14ac:dyDescent="0.3">
      <c r="I5889" s="12"/>
      <c r="N5889" s="12"/>
      <c r="S5889" s="12"/>
      <c r="X5889" s="12"/>
      <c r="AM5889" s="12"/>
    </row>
    <row r="5890" spans="9:39" x14ac:dyDescent="0.3">
      <c r="I5890" s="12"/>
      <c r="N5890" s="12"/>
      <c r="S5890" s="12"/>
      <c r="X5890" s="12"/>
      <c r="AM5890" s="12"/>
    </row>
    <row r="5891" spans="9:39" x14ac:dyDescent="0.3">
      <c r="I5891" s="12"/>
      <c r="N5891" s="12"/>
      <c r="S5891" s="12"/>
      <c r="X5891" s="12"/>
      <c r="AM5891" s="12"/>
    </row>
    <row r="5892" spans="9:39" x14ac:dyDescent="0.3">
      <c r="I5892" s="12"/>
      <c r="N5892" s="12"/>
      <c r="S5892" s="12"/>
      <c r="X5892" s="12"/>
      <c r="AM5892" s="12"/>
    </row>
    <row r="5893" spans="9:39" x14ac:dyDescent="0.3">
      <c r="I5893" s="12"/>
      <c r="N5893" s="12"/>
      <c r="S5893" s="12"/>
      <c r="X5893" s="12"/>
      <c r="AM5893" s="12"/>
    </row>
    <row r="5894" spans="9:39" x14ac:dyDescent="0.3">
      <c r="I5894" s="12"/>
      <c r="N5894" s="12"/>
      <c r="S5894" s="12"/>
      <c r="X5894" s="12"/>
      <c r="AM5894" s="12"/>
    </row>
    <row r="5895" spans="9:39" x14ac:dyDescent="0.3">
      <c r="I5895" s="12"/>
      <c r="N5895" s="12"/>
      <c r="S5895" s="12"/>
      <c r="X5895" s="12"/>
      <c r="AM5895" s="12"/>
    </row>
    <row r="5896" spans="9:39" x14ac:dyDescent="0.3">
      <c r="I5896" s="12"/>
      <c r="N5896" s="12"/>
      <c r="S5896" s="12"/>
      <c r="X5896" s="12"/>
      <c r="AM5896" s="12"/>
    </row>
    <row r="5897" spans="9:39" x14ac:dyDescent="0.3">
      <c r="I5897" s="12"/>
      <c r="N5897" s="12"/>
      <c r="S5897" s="12"/>
      <c r="X5897" s="12"/>
      <c r="AM5897" s="12"/>
    </row>
    <row r="5898" spans="9:39" x14ac:dyDescent="0.3">
      <c r="I5898" s="12"/>
      <c r="N5898" s="12"/>
      <c r="S5898" s="12"/>
      <c r="X5898" s="12"/>
      <c r="AM5898" s="12"/>
    </row>
    <row r="5899" spans="9:39" x14ac:dyDescent="0.3">
      <c r="I5899" s="12"/>
      <c r="N5899" s="12"/>
      <c r="S5899" s="12"/>
      <c r="X5899" s="12"/>
      <c r="AM5899" s="12"/>
    </row>
    <row r="5900" spans="9:39" x14ac:dyDescent="0.3">
      <c r="I5900" s="12"/>
      <c r="N5900" s="12"/>
      <c r="S5900" s="12"/>
      <c r="X5900" s="12"/>
      <c r="AM5900" s="12"/>
    </row>
    <row r="5901" spans="9:39" x14ac:dyDescent="0.3">
      <c r="I5901" s="12"/>
      <c r="N5901" s="12"/>
      <c r="S5901" s="12"/>
      <c r="X5901" s="12"/>
      <c r="AM5901" s="12"/>
    </row>
    <row r="5902" spans="9:39" x14ac:dyDescent="0.3">
      <c r="I5902" s="12"/>
      <c r="N5902" s="12"/>
      <c r="S5902" s="12"/>
      <c r="X5902" s="12"/>
      <c r="AM5902" s="12"/>
    </row>
    <row r="5903" spans="9:39" x14ac:dyDescent="0.3">
      <c r="I5903" s="12"/>
      <c r="N5903" s="12"/>
      <c r="S5903" s="12"/>
      <c r="X5903" s="12"/>
      <c r="AM5903" s="12"/>
    </row>
    <row r="5904" spans="9:39" x14ac:dyDescent="0.3">
      <c r="I5904" s="12"/>
      <c r="N5904" s="12"/>
      <c r="S5904" s="12"/>
      <c r="X5904" s="12"/>
      <c r="AM5904" s="12"/>
    </row>
    <row r="5905" spans="9:39" x14ac:dyDescent="0.3">
      <c r="I5905" s="12"/>
      <c r="N5905" s="12"/>
      <c r="S5905" s="12"/>
      <c r="X5905" s="12"/>
      <c r="AM5905" s="12"/>
    </row>
    <row r="5906" spans="9:39" x14ac:dyDescent="0.3">
      <c r="I5906" s="12"/>
      <c r="N5906" s="12"/>
      <c r="S5906" s="12"/>
      <c r="X5906" s="12"/>
      <c r="AM5906" s="12"/>
    </row>
    <row r="5907" spans="9:39" x14ac:dyDescent="0.3">
      <c r="I5907" s="12"/>
      <c r="N5907" s="12"/>
      <c r="S5907" s="12"/>
      <c r="X5907" s="12"/>
      <c r="AM5907" s="12"/>
    </row>
    <row r="5908" spans="9:39" x14ac:dyDescent="0.3">
      <c r="I5908" s="12"/>
      <c r="N5908" s="12"/>
      <c r="S5908" s="12"/>
      <c r="X5908" s="12"/>
      <c r="AM5908" s="12"/>
    </row>
    <row r="5909" spans="9:39" x14ac:dyDescent="0.3">
      <c r="I5909" s="12"/>
      <c r="N5909" s="12"/>
      <c r="S5909" s="12"/>
      <c r="X5909" s="12"/>
      <c r="AM5909" s="12"/>
    </row>
    <row r="5910" spans="9:39" x14ac:dyDescent="0.3">
      <c r="I5910" s="12"/>
      <c r="N5910" s="12"/>
      <c r="S5910" s="12"/>
      <c r="X5910" s="12"/>
      <c r="AM5910" s="12"/>
    </row>
    <row r="5911" spans="9:39" x14ac:dyDescent="0.3">
      <c r="I5911" s="12"/>
      <c r="N5911" s="12"/>
      <c r="S5911" s="12"/>
      <c r="X5911" s="12"/>
      <c r="AM5911" s="12"/>
    </row>
    <row r="5912" spans="9:39" x14ac:dyDescent="0.3">
      <c r="I5912" s="12"/>
      <c r="N5912" s="12"/>
      <c r="S5912" s="12"/>
      <c r="X5912" s="12"/>
      <c r="AM5912" s="12"/>
    </row>
    <row r="5913" spans="9:39" x14ac:dyDescent="0.3">
      <c r="I5913" s="12"/>
      <c r="N5913" s="12"/>
      <c r="S5913" s="12"/>
      <c r="X5913" s="12"/>
      <c r="AM5913" s="12"/>
    </row>
    <row r="5914" spans="9:39" x14ac:dyDescent="0.3">
      <c r="I5914" s="12"/>
      <c r="N5914" s="12"/>
      <c r="S5914" s="12"/>
      <c r="X5914" s="12"/>
      <c r="AM5914" s="12"/>
    </row>
    <row r="5915" spans="9:39" x14ac:dyDescent="0.3">
      <c r="I5915" s="12"/>
      <c r="N5915" s="12"/>
      <c r="S5915" s="12"/>
      <c r="X5915" s="12"/>
      <c r="AM5915" s="12"/>
    </row>
    <row r="5916" spans="9:39" x14ac:dyDescent="0.3">
      <c r="I5916" s="12"/>
      <c r="N5916" s="12"/>
      <c r="S5916" s="12"/>
      <c r="X5916" s="12"/>
      <c r="AM5916" s="12"/>
    </row>
    <row r="5917" spans="9:39" x14ac:dyDescent="0.3">
      <c r="I5917" s="12"/>
      <c r="N5917" s="12"/>
      <c r="S5917" s="12"/>
      <c r="X5917" s="12"/>
      <c r="AM5917" s="12"/>
    </row>
    <row r="5918" spans="9:39" x14ac:dyDescent="0.3">
      <c r="I5918" s="12"/>
      <c r="N5918" s="12"/>
      <c r="S5918" s="12"/>
      <c r="X5918" s="12"/>
      <c r="AM5918" s="12"/>
    </row>
    <row r="5919" spans="9:39" x14ac:dyDescent="0.3">
      <c r="I5919" s="12"/>
      <c r="N5919" s="12"/>
      <c r="S5919" s="12"/>
      <c r="X5919" s="12"/>
      <c r="AM5919" s="12"/>
    </row>
    <row r="5920" spans="9:39" x14ac:dyDescent="0.3">
      <c r="I5920" s="12"/>
      <c r="N5920" s="12"/>
      <c r="S5920" s="12"/>
      <c r="X5920" s="12"/>
      <c r="AM5920" s="12"/>
    </row>
    <row r="5921" spans="9:39" x14ac:dyDescent="0.3">
      <c r="I5921" s="12"/>
      <c r="N5921" s="12"/>
      <c r="S5921" s="12"/>
      <c r="X5921" s="12"/>
      <c r="AM5921" s="12"/>
    </row>
    <row r="5922" spans="9:39" x14ac:dyDescent="0.3">
      <c r="I5922" s="12"/>
      <c r="N5922" s="12"/>
      <c r="S5922" s="12"/>
      <c r="X5922" s="12"/>
      <c r="AM5922" s="12"/>
    </row>
    <row r="5923" spans="9:39" x14ac:dyDescent="0.3">
      <c r="I5923" s="12"/>
      <c r="N5923" s="12"/>
      <c r="S5923" s="12"/>
      <c r="X5923" s="12"/>
      <c r="AM5923" s="12"/>
    </row>
    <row r="5924" spans="9:39" x14ac:dyDescent="0.3">
      <c r="I5924" s="12"/>
      <c r="N5924" s="12"/>
      <c r="S5924" s="12"/>
      <c r="X5924" s="12"/>
      <c r="AM5924" s="12"/>
    </row>
    <row r="5925" spans="9:39" x14ac:dyDescent="0.3">
      <c r="I5925" s="12"/>
      <c r="N5925" s="12"/>
      <c r="S5925" s="12"/>
      <c r="X5925" s="12"/>
      <c r="AM5925" s="12"/>
    </row>
    <row r="5926" spans="9:39" x14ac:dyDescent="0.3">
      <c r="I5926" s="12"/>
      <c r="N5926" s="12"/>
      <c r="S5926" s="12"/>
      <c r="X5926" s="12"/>
      <c r="AM5926" s="12"/>
    </row>
    <row r="5927" spans="9:39" x14ac:dyDescent="0.3">
      <c r="I5927" s="12"/>
      <c r="N5927" s="12"/>
      <c r="S5927" s="12"/>
      <c r="X5927" s="12"/>
      <c r="AM5927" s="12"/>
    </row>
    <row r="5928" spans="9:39" x14ac:dyDescent="0.3">
      <c r="I5928" s="12"/>
      <c r="N5928" s="12"/>
      <c r="S5928" s="12"/>
      <c r="X5928" s="12"/>
      <c r="AM5928" s="12"/>
    </row>
    <row r="5929" spans="9:39" x14ac:dyDescent="0.3">
      <c r="I5929" s="12"/>
      <c r="N5929" s="12"/>
      <c r="S5929" s="12"/>
      <c r="X5929" s="12"/>
      <c r="AM5929" s="12"/>
    </row>
    <row r="5930" spans="9:39" x14ac:dyDescent="0.3">
      <c r="I5930" s="12"/>
      <c r="N5930" s="12"/>
      <c r="S5930" s="12"/>
      <c r="X5930" s="12"/>
      <c r="AM5930" s="12"/>
    </row>
    <row r="5931" spans="9:39" x14ac:dyDescent="0.3">
      <c r="I5931" s="12"/>
      <c r="N5931" s="12"/>
      <c r="S5931" s="12"/>
      <c r="X5931" s="12"/>
      <c r="AM5931" s="12"/>
    </row>
    <row r="5932" spans="9:39" x14ac:dyDescent="0.3">
      <c r="I5932" s="12"/>
      <c r="N5932" s="12"/>
      <c r="S5932" s="12"/>
      <c r="X5932" s="12"/>
      <c r="AM5932" s="12"/>
    </row>
    <row r="5933" spans="9:39" x14ac:dyDescent="0.3">
      <c r="I5933" s="12"/>
      <c r="N5933" s="12"/>
      <c r="S5933" s="12"/>
      <c r="X5933" s="12"/>
      <c r="AM5933" s="12"/>
    </row>
    <row r="5934" spans="9:39" x14ac:dyDescent="0.3">
      <c r="I5934" s="12"/>
      <c r="N5934" s="12"/>
      <c r="S5934" s="12"/>
      <c r="X5934" s="12"/>
      <c r="AM5934" s="12"/>
    </row>
    <row r="5935" spans="9:39" x14ac:dyDescent="0.3">
      <c r="I5935" s="12"/>
      <c r="N5935" s="12"/>
      <c r="S5935" s="12"/>
      <c r="X5935" s="12"/>
      <c r="AM5935" s="12"/>
    </row>
    <row r="5936" spans="9:39" x14ac:dyDescent="0.3">
      <c r="I5936" s="12"/>
      <c r="N5936" s="12"/>
      <c r="S5936" s="12"/>
      <c r="X5936" s="12"/>
      <c r="AM5936" s="12"/>
    </row>
    <row r="5937" spans="9:39" x14ac:dyDescent="0.3">
      <c r="I5937" s="12"/>
      <c r="N5937" s="12"/>
      <c r="S5937" s="12"/>
      <c r="X5937" s="12"/>
      <c r="AM5937" s="12"/>
    </row>
    <row r="5938" spans="9:39" x14ac:dyDescent="0.3">
      <c r="I5938" s="12"/>
      <c r="N5938" s="12"/>
      <c r="S5938" s="12"/>
      <c r="X5938" s="12"/>
      <c r="AM5938" s="12"/>
    </row>
    <row r="5939" spans="9:39" x14ac:dyDescent="0.3">
      <c r="I5939" s="12"/>
      <c r="N5939" s="12"/>
      <c r="S5939" s="12"/>
      <c r="X5939" s="12"/>
      <c r="AM5939" s="12"/>
    </row>
    <row r="5940" spans="9:39" x14ac:dyDescent="0.3">
      <c r="I5940" s="12"/>
      <c r="N5940" s="12"/>
      <c r="S5940" s="12"/>
      <c r="X5940" s="12"/>
      <c r="AM5940" s="12"/>
    </row>
    <row r="5941" spans="9:39" x14ac:dyDescent="0.3">
      <c r="I5941" s="12"/>
      <c r="N5941" s="12"/>
      <c r="S5941" s="12"/>
      <c r="X5941" s="12"/>
      <c r="AM5941" s="12"/>
    </row>
    <row r="5942" spans="9:39" x14ac:dyDescent="0.3">
      <c r="I5942" s="12"/>
      <c r="N5942" s="12"/>
      <c r="S5942" s="12"/>
      <c r="X5942" s="12"/>
      <c r="AM5942" s="12"/>
    </row>
    <row r="5943" spans="9:39" x14ac:dyDescent="0.3">
      <c r="I5943" s="12"/>
      <c r="N5943" s="12"/>
      <c r="S5943" s="12"/>
      <c r="X5943" s="12"/>
      <c r="AM5943" s="12"/>
    </row>
    <row r="5944" spans="9:39" x14ac:dyDescent="0.3">
      <c r="I5944" s="12"/>
      <c r="N5944" s="12"/>
      <c r="S5944" s="12"/>
      <c r="X5944" s="12"/>
      <c r="AM5944" s="12"/>
    </row>
    <row r="5945" spans="9:39" x14ac:dyDescent="0.3">
      <c r="I5945" s="12"/>
      <c r="N5945" s="12"/>
      <c r="S5945" s="12"/>
      <c r="X5945" s="12"/>
      <c r="AM5945" s="12"/>
    </row>
    <row r="5946" spans="9:39" x14ac:dyDescent="0.3">
      <c r="I5946" s="12"/>
      <c r="N5946" s="12"/>
      <c r="S5946" s="12"/>
      <c r="X5946" s="12"/>
      <c r="AM5946" s="12"/>
    </row>
    <row r="5947" spans="9:39" x14ac:dyDescent="0.3">
      <c r="I5947" s="12"/>
      <c r="N5947" s="12"/>
      <c r="S5947" s="12"/>
      <c r="X5947" s="12"/>
      <c r="AM5947" s="12"/>
    </row>
    <row r="5948" spans="9:39" x14ac:dyDescent="0.3">
      <c r="I5948" s="12"/>
      <c r="N5948" s="12"/>
      <c r="S5948" s="12"/>
      <c r="X5948" s="12"/>
      <c r="AM5948" s="12"/>
    </row>
    <row r="5949" spans="9:39" x14ac:dyDescent="0.3">
      <c r="I5949" s="12"/>
      <c r="N5949" s="12"/>
      <c r="S5949" s="12"/>
      <c r="X5949" s="12"/>
      <c r="AM5949" s="12"/>
    </row>
    <row r="5950" spans="9:39" x14ac:dyDescent="0.3">
      <c r="I5950" s="12"/>
      <c r="N5950" s="12"/>
      <c r="S5950" s="12"/>
      <c r="X5950" s="12"/>
      <c r="AM5950" s="12"/>
    </row>
    <row r="5951" spans="9:39" x14ac:dyDescent="0.3">
      <c r="I5951" s="12"/>
      <c r="N5951" s="12"/>
      <c r="S5951" s="12"/>
      <c r="X5951" s="12"/>
      <c r="AM5951" s="12"/>
    </row>
    <row r="5952" spans="9:39" x14ac:dyDescent="0.3">
      <c r="I5952" s="12"/>
      <c r="N5952" s="12"/>
      <c r="S5952" s="12"/>
      <c r="X5952" s="12"/>
      <c r="AM5952" s="12"/>
    </row>
    <row r="5953" spans="9:39" x14ac:dyDescent="0.3">
      <c r="I5953" s="12"/>
      <c r="N5953" s="12"/>
      <c r="S5953" s="12"/>
      <c r="X5953" s="12"/>
      <c r="AM5953" s="12"/>
    </row>
    <row r="5954" spans="9:39" x14ac:dyDescent="0.3">
      <c r="I5954" s="12"/>
      <c r="N5954" s="12"/>
      <c r="S5954" s="12"/>
      <c r="X5954" s="12"/>
      <c r="AM5954" s="12"/>
    </row>
    <row r="5955" spans="9:39" x14ac:dyDescent="0.3">
      <c r="I5955" s="12"/>
      <c r="N5955" s="12"/>
      <c r="S5955" s="12"/>
      <c r="X5955" s="12"/>
      <c r="AM5955" s="12"/>
    </row>
    <row r="5956" spans="9:39" x14ac:dyDescent="0.3">
      <c r="I5956" s="12"/>
      <c r="N5956" s="12"/>
      <c r="S5956" s="12"/>
      <c r="X5956" s="12"/>
      <c r="AM5956" s="12"/>
    </row>
    <row r="5957" spans="9:39" x14ac:dyDescent="0.3">
      <c r="I5957" s="12"/>
      <c r="N5957" s="12"/>
      <c r="S5957" s="12"/>
      <c r="X5957" s="12"/>
      <c r="AM5957" s="12"/>
    </row>
    <row r="5958" spans="9:39" x14ac:dyDescent="0.3">
      <c r="I5958" s="12"/>
      <c r="N5958" s="12"/>
      <c r="S5958" s="12"/>
      <c r="X5958" s="12"/>
      <c r="AM5958" s="12"/>
    </row>
    <row r="5959" spans="9:39" x14ac:dyDescent="0.3">
      <c r="I5959" s="12"/>
      <c r="N5959" s="12"/>
      <c r="S5959" s="12"/>
      <c r="X5959" s="12"/>
      <c r="AM5959" s="12"/>
    </row>
    <row r="5960" spans="9:39" x14ac:dyDescent="0.3">
      <c r="I5960" s="12"/>
      <c r="N5960" s="12"/>
      <c r="S5960" s="12"/>
      <c r="X5960" s="12"/>
      <c r="AM5960" s="12"/>
    </row>
    <row r="5961" spans="9:39" x14ac:dyDescent="0.3">
      <c r="I5961" s="12"/>
      <c r="N5961" s="12"/>
      <c r="S5961" s="12"/>
      <c r="X5961" s="12"/>
      <c r="AM5961" s="12"/>
    </row>
    <row r="5962" spans="9:39" x14ac:dyDescent="0.3">
      <c r="I5962" s="12"/>
      <c r="N5962" s="12"/>
      <c r="S5962" s="12"/>
      <c r="X5962" s="12"/>
      <c r="AM5962" s="12"/>
    </row>
    <row r="5963" spans="9:39" x14ac:dyDescent="0.3">
      <c r="I5963" s="12"/>
      <c r="N5963" s="12"/>
      <c r="S5963" s="12"/>
      <c r="X5963" s="12"/>
      <c r="AM5963" s="12"/>
    </row>
    <row r="5964" spans="9:39" x14ac:dyDescent="0.3">
      <c r="I5964" s="12"/>
      <c r="N5964" s="12"/>
      <c r="S5964" s="12"/>
      <c r="X5964" s="12"/>
      <c r="AM5964" s="12"/>
    </row>
    <row r="5965" spans="9:39" x14ac:dyDescent="0.3">
      <c r="I5965" s="12"/>
      <c r="N5965" s="12"/>
      <c r="S5965" s="12"/>
      <c r="X5965" s="12"/>
      <c r="AM5965" s="12"/>
    </row>
    <row r="5966" spans="9:39" x14ac:dyDescent="0.3">
      <c r="I5966" s="12"/>
      <c r="N5966" s="12"/>
      <c r="S5966" s="12"/>
      <c r="X5966" s="12"/>
      <c r="AM5966" s="12"/>
    </row>
    <row r="5967" spans="9:39" x14ac:dyDescent="0.3">
      <c r="I5967" s="12"/>
      <c r="N5967" s="12"/>
      <c r="S5967" s="12"/>
      <c r="X5967" s="12"/>
      <c r="AM5967" s="12"/>
    </row>
    <row r="5968" spans="9:39" x14ac:dyDescent="0.3">
      <c r="I5968" s="12"/>
      <c r="N5968" s="12"/>
      <c r="S5968" s="12"/>
      <c r="X5968" s="12"/>
      <c r="AM5968" s="12"/>
    </row>
    <row r="5969" spans="9:39" x14ac:dyDescent="0.3">
      <c r="I5969" s="12"/>
      <c r="N5969" s="12"/>
      <c r="S5969" s="12"/>
      <c r="X5969" s="12"/>
      <c r="AM5969" s="12"/>
    </row>
    <row r="5970" spans="9:39" x14ac:dyDescent="0.3">
      <c r="I5970" s="12"/>
      <c r="N5970" s="12"/>
      <c r="S5970" s="12"/>
      <c r="X5970" s="12"/>
      <c r="AM5970" s="12"/>
    </row>
    <row r="5971" spans="9:39" x14ac:dyDescent="0.3">
      <c r="I5971" s="12"/>
      <c r="N5971" s="12"/>
      <c r="S5971" s="12"/>
      <c r="X5971" s="12"/>
      <c r="AM5971" s="12"/>
    </row>
    <row r="5972" spans="9:39" x14ac:dyDescent="0.3">
      <c r="I5972" s="12"/>
      <c r="N5972" s="12"/>
      <c r="S5972" s="12"/>
      <c r="X5972" s="12"/>
      <c r="AM5972" s="12"/>
    </row>
    <row r="5973" spans="9:39" x14ac:dyDescent="0.3">
      <c r="I5973" s="12"/>
      <c r="N5973" s="12"/>
      <c r="S5973" s="12"/>
      <c r="X5973" s="12"/>
      <c r="AM5973" s="12"/>
    </row>
    <row r="5974" spans="9:39" x14ac:dyDescent="0.3">
      <c r="I5974" s="12"/>
      <c r="N5974" s="12"/>
      <c r="S5974" s="12"/>
      <c r="X5974" s="12"/>
      <c r="AM5974" s="12"/>
    </row>
    <row r="5975" spans="9:39" x14ac:dyDescent="0.3">
      <c r="I5975" s="12"/>
      <c r="N5975" s="12"/>
      <c r="S5975" s="12"/>
      <c r="X5975" s="12"/>
      <c r="AM5975" s="12"/>
    </row>
    <row r="5976" spans="9:39" x14ac:dyDescent="0.3">
      <c r="I5976" s="12"/>
      <c r="N5976" s="12"/>
      <c r="S5976" s="12"/>
      <c r="X5976" s="12"/>
      <c r="AM5976" s="12"/>
    </row>
    <row r="5977" spans="9:39" x14ac:dyDescent="0.3">
      <c r="I5977" s="12"/>
      <c r="N5977" s="12"/>
      <c r="S5977" s="12"/>
      <c r="X5977" s="12"/>
      <c r="AM5977" s="12"/>
    </row>
    <row r="5978" spans="9:39" x14ac:dyDescent="0.3">
      <c r="I5978" s="12"/>
      <c r="N5978" s="12"/>
      <c r="S5978" s="12"/>
      <c r="X5978" s="12"/>
      <c r="AM5978" s="12"/>
    </row>
    <row r="5979" spans="9:39" x14ac:dyDescent="0.3">
      <c r="I5979" s="12"/>
      <c r="N5979" s="12"/>
      <c r="S5979" s="12"/>
      <c r="X5979" s="12"/>
      <c r="AM5979" s="12"/>
    </row>
    <row r="5980" spans="9:39" x14ac:dyDescent="0.3">
      <c r="I5980" s="12"/>
      <c r="N5980" s="12"/>
      <c r="S5980" s="12"/>
      <c r="X5980" s="12"/>
      <c r="AM5980" s="12"/>
    </row>
    <row r="5981" spans="9:39" x14ac:dyDescent="0.3">
      <c r="I5981" s="12"/>
      <c r="N5981" s="12"/>
      <c r="S5981" s="12"/>
      <c r="X5981" s="12"/>
      <c r="AM5981" s="12"/>
    </row>
    <row r="5982" spans="9:39" x14ac:dyDescent="0.3">
      <c r="I5982" s="12"/>
      <c r="N5982" s="12"/>
      <c r="S5982" s="12"/>
      <c r="X5982" s="12"/>
      <c r="AM5982" s="12"/>
    </row>
    <row r="5983" spans="9:39" x14ac:dyDescent="0.3">
      <c r="I5983" s="12"/>
      <c r="N5983" s="12"/>
      <c r="S5983" s="12"/>
      <c r="X5983" s="12"/>
      <c r="AM5983" s="12"/>
    </row>
    <row r="5984" spans="9:39" x14ac:dyDescent="0.3">
      <c r="I5984" s="12"/>
      <c r="N5984" s="12"/>
      <c r="S5984" s="12"/>
      <c r="X5984" s="12"/>
      <c r="AM5984" s="12"/>
    </row>
    <row r="5985" spans="9:39" x14ac:dyDescent="0.3">
      <c r="I5985" s="12"/>
      <c r="N5985" s="12"/>
      <c r="S5985" s="12"/>
      <c r="X5985" s="12"/>
      <c r="AM5985" s="12"/>
    </row>
    <row r="5986" spans="9:39" x14ac:dyDescent="0.3">
      <c r="I5986" s="12"/>
      <c r="N5986" s="12"/>
      <c r="S5986" s="12"/>
      <c r="X5986" s="12"/>
      <c r="AM5986" s="12"/>
    </row>
    <row r="5987" spans="9:39" x14ac:dyDescent="0.3">
      <c r="I5987" s="12"/>
      <c r="N5987" s="12"/>
      <c r="S5987" s="12"/>
      <c r="X5987" s="12"/>
      <c r="AM5987" s="12"/>
    </row>
    <row r="5988" spans="9:39" x14ac:dyDescent="0.3">
      <c r="I5988" s="12"/>
      <c r="N5988" s="12"/>
      <c r="S5988" s="12"/>
      <c r="X5988" s="12"/>
      <c r="AM5988" s="12"/>
    </row>
    <row r="5989" spans="9:39" x14ac:dyDescent="0.3">
      <c r="I5989" s="12"/>
      <c r="N5989" s="12"/>
      <c r="S5989" s="12"/>
      <c r="X5989" s="12"/>
      <c r="AM5989" s="12"/>
    </row>
    <row r="5990" spans="9:39" x14ac:dyDescent="0.3">
      <c r="I5990" s="12"/>
      <c r="N5990" s="12"/>
      <c r="S5990" s="12"/>
      <c r="X5990" s="12"/>
      <c r="AM5990" s="12"/>
    </row>
    <row r="5991" spans="9:39" x14ac:dyDescent="0.3">
      <c r="I5991" s="12"/>
      <c r="N5991" s="12"/>
      <c r="S5991" s="12"/>
      <c r="X5991" s="12"/>
      <c r="AM5991" s="12"/>
    </row>
    <row r="5992" spans="9:39" x14ac:dyDescent="0.3">
      <c r="I5992" s="12"/>
      <c r="N5992" s="12"/>
      <c r="S5992" s="12"/>
      <c r="X5992" s="12"/>
      <c r="AM5992" s="12"/>
    </row>
    <row r="5993" spans="9:39" x14ac:dyDescent="0.3">
      <c r="I5993" s="12"/>
      <c r="N5993" s="12"/>
      <c r="S5993" s="12"/>
      <c r="X5993" s="12"/>
      <c r="AM5993" s="12"/>
    </row>
    <row r="5994" spans="9:39" x14ac:dyDescent="0.3">
      <c r="I5994" s="12"/>
      <c r="N5994" s="12"/>
      <c r="S5994" s="12"/>
      <c r="X5994" s="12"/>
      <c r="AM5994" s="12"/>
    </row>
    <row r="5995" spans="9:39" x14ac:dyDescent="0.3">
      <c r="I5995" s="12"/>
      <c r="N5995" s="12"/>
      <c r="S5995" s="12"/>
      <c r="X5995" s="12"/>
      <c r="AM5995" s="12"/>
    </row>
    <row r="5996" spans="9:39" x14ac:dyDescent="0.3">
      <c r="I5996" s="12"/>
      <c r="N5996" s="12"/>
      <c r="S5996" s="12"/>
      <c r="X5996" s="12"/>
      <c r="AM5996" s="12"/>
    </row>
    <row r="5997" spans="9:39" x14ac:dyDescent="0.3">
      <c r="I5997" s="12"/>
      <c r="N5997" s="12"/>
      <c r="S5997" s="12"/>
      <c r="X5997" s="12"/>
      <c r="AM5997" s="12"/>
    </row>
    <row r="5998" spans="9:39" x14ac:dyDescent="0.3">
      <c r="I5998" s="12"/>
      <c r="N5998" s="12"/>
      <c r="S5998" s="12"/>
      <c r="X5998" s="12"/>
      <c r="AM5998" s="12"/>
    </row>
    <row r="5999" spans="9:39" x14ac:dyDescent="0.3">
      <c r="I5999" s="12"/>
      <c r="N5999" s="12"/>
      <c r="S5999" s="12"/>
      <c r="X5999" s="12"/>
      <c r="AM5999" s="12"/>
    </row>
    <row r="6000" spans="9:39" x14ac:dyDescent="0.3">
      <c r="I6000" s="12"/>
      <c r="N6000" s="12"/>
      <c r="S6000" s="12"/>
      <c r="X6000" s="12"/>
      <c r="AM6000" s="12"/>
    </row>
    <row r="6001" spans="9:39" x14ac:dyDescent="0.3">
      <c r="I6001" s="12"/>
      <c r="N6001" s="12"/>
      <c r="S6001" s="12"/>
      <c r="X6001" s="12"/>
      <c r="AM6001" s="12"/>
    </row>
    <row r="6002" spans="9:39" x14ac:dyDescent="0.3">
      <c r="I6002" s="12"/>
      <c r="N6002" s="12"/>
      <c r="S6002" s="12"/>
      <c r="X6002" s="12"/>
      <c r="AM6002" s="12"/>
    </row>
    <row r="6003" spans="9:39" x14ac:dyDescent="0.3">
      <c r="I6003" s="12"/>
      <c r="N6003" s="12"/>
      <c r="S6003" s="12"/>
      <c r="X6003" s="12"/>
      <c r="AM6003" s="12"/>
    </row>
    <row r="6004" spans="9:39" x14ac:dyDescent="0.3">
      <c r="I6004" s="12"/>
      <c r="N6004" s="12"/>
      <c r="S6004" s="12"/>
      <c r="X6004" s="12"/>
      <c r="AM6004" s="12"/>
    </row>
    <row r="6005" spans="9:39" x14ac:dyDescent="0.3">
      <c r="I6005" s="12"/>
      <c r="N6005" s="12"/>
      <c r="S6005" s="12"/>
      <c r="X6005" s="12"/>
      <c r="AM6005" s="12"/>
    </row>
    <row r="6006" spans="9:39" x14ac:dyDescent="0.3">
      <c r="I6006" s="12"/>
      <c r="N6006" s="12"/>
      <c r="S6006" s="12"/>
      <c r="X6006" s="12"/>
      <c r="AM6006" s="12"/>
    </row>
    <row r="6007" spans="9:39" x14ac:dyDescent="0.3">
      <c r="I6007" s="12"/>
      <c r="N6007" s="12"/>
      <c r="S6007" s="12"/>
      <c r="X6007" s="12"/>
      <c r="AM6007" s="12"/>
    </row>
    <row r="6008" spans="9:39" x14ac:dyDescent="0.3">
      <c r="I6008" s="12"/>
      <c r="N6008" s="12"/>
      <c r="S6008" s="12"/>
      <c r="X6008" s="12"/>
      <c r="AM6008" s="12"/>
    </row>
    <row r="6009" spans="9:39" x14ac:dyDescent="0.3">
      <c r="I6009" s="12"/>
      <c r="N6009" s="12"/>
      <c r="S6009" s="12"/>
      <c r="X6009" s="12"/>
      <c r="AM6009" s="12"/>
    </row>
    <row r="6010" spans="9:39" x14ac:dyDescent="0.3">
      <c r="I6010" s="12"/>
      <c r="N6010" s="12"/>
      <c r="S6010" s="12"/>
      <c r="X6010" s="12"/>
      <c r="AM6010" s="12"/>
    </row>
    <row r="6011" spans="9:39" x14ac:dyDescent="0.3">
      <c r="I6011" s="12"/>
      <c r="N6011" s="12"/>
      <c r="S6011" s="12"/>
      <c r="X6011" s="12"/>
      <c r="AM6011" s="12"/>
    </row>
    <row r="6012" spans="9:39" x14ac:dyDescent="0.3">
      <c r="I6012" s="12"/>
      <c r="N6012" s="12"/>
      <c r="S6012" s="12"/>
      <c r="X6012" s="12"/>
      <c r="AM6012" s="12"/>
    </row>
    <row r="6013" spans="9:39" x14ac:dyDescent="0.3">
      <c r="I6013" s="12"/>
      <c r="N6013" s="12"/>
      <c r="S6013" s="12"/>
      <c r="X6013" s="12"/>
      <c r="AM6013" s="12"/>
    </row>
    <row r="6014" spans="9:39" x14ac:dyDescent="0.3">
      <c r="I6014" s="12"/>
      <c r="N6014" s="12"/>
      <c r="S6014" s="12"/>
      <c r="X6014" s="12"/>
      <c r="AM6014" s="12"/>
    </row>
    <row r="6015" spans="9:39" x14ac:dyDescent="0.3">
      <c r="I6015" s="12"/>
      <c r="N6015" s="12"/>
      <c r="S6015" s="12"/>
      <c r="X6015" s="12"/>
      <c r="AM6015" s="12"/>
    </row>
    <row r="6016" spans="9:39" x14ac:dyDescent="0.3">
      <c r="I6016" s="12"/>
      <c r="N6016" s="12"/>
      <c r="S6016" s="12"/>
      <c r="X6016" s="12"/>
      <c r="AM6016" s="12"/>
    </row>
    <row r="6017" spans="9:39" x14ac:dyDescent="0.3">
      <c r="I6017" s="12"/>
      <c r="N6017" s="12"/>
      <c r="S6017" s="12"/>
      <c r="X6017" s="12"/>
      <c r="AM6017" s="12"/>
    </row>
    <row r="6018" spans="9:39" x14ac:dyDescent="0.3">
      <c r="I6018" s="12"/>
      <c r="N6018" s="12"/>
      <c r="S6018" s="12"/>
      <c r="X6018" s="12"/>
      <c r="AM6018" s="12"/>
    </row>
    <row r="6019" spans="9:39" x14ac:dyDescent="0.3">
      <c r="I6019" s="12"/>
      <c r="N6019" s="12"/>
      <c r="S6019" s="12"/>
      <c r="X6019" s="12"/>
      <c r="AM6019" s="12"/>
    </row>
    <row r="6020" spans="9:39" x14ac:dyDescent="0.3">
      <c r="I6020" s="12"/>
      <c r="N6020" s="12"/>
      <c r="S6020" s="12"/>
      <c r="X6020" s="12"/>
      <c r="AM6020" s="12"/>
    </row>
    <row r="6021" spans="9:39" x14ac:dyDescent="0.3">
      <c r="I6021" s="12"/>
      <c r="N6021" s="12"/>
      <c r="S6021" s="12"/>
      <c r="X6021" s="12"/>
      <c r="AM6021" s="12"/>
    </row>
    <row r="6022" spans="9:39" x14ac:dyDescent="0.3">
      <c r="I6022" s="12"/>
      <c r="N6022" s="12"/>
      <c r="S6022" s="12"/>
      <c r="X6022" s="12"/>
      <c r="AM6022" s="12"/>
    </row>
    <row r="6023" spans="9:39" x14ac:dyDescent="0.3">
      <c r="I6023" s="12"/>
      <c r="N6023" s="12"/>
      <c r="S6023" s="12"/>
      <c r="X6023" s="12"/>
      <c r="AM6023" s="12"/>
    </row>
    <row r="6024" spans="9:39" x14ac:dyDescent="0.3">
      <c r="I6024" s="12"/>
      <c r="N6024" s="12"/>
      <c r="S6024" s="12"/>
      <c r="X6024" s="12"/>
      <c r="AM6024" s="12"/>
    </row>
    <row r="6025" spans="9:39" x14ac:dyDescent="0.3">
      <c r="I6025" s="12"/>
      <c r="N6025" s="12"/>
      <c r="S6025" s="12"/>
      <c r="X6025" s="12"/>
      <c r="AM6025" s="12"/>
    </row>
    <row r="6026" spans="9:39" x14ac:dyDescent="0.3">
      <c r="I6026" s="12"/>
      <c r="N6026" s="12"/>
      <c r="S6026" s="12"/>
      <c r="X6026" s="12"/>
      <c r="AM6026" s="12"/>
    </row>
    <row r="6027" spans="9:39" x14ac:dyDescent="0.3">
      <c r="I6027" s="12"/>
      <c r="N6027" s="12"/>
      <c r="S6027" s="12"/>
      <c r="X6027" s="12"/>
      <c r="AM6027" s="12"/>
    </row>
    <row r="6028" spans="9:39" x14ac:dyDescent="0.3">
      <c r="I6028" s="12"/>
      <c r="N6028" s="12"/>
      <c r="S6028" s="12"/>
      <c r="X6028" s="12"/>
      <c r="AM6028" s="12"/>
    </row>
    <row r="6029" spans="9:39" x14ac:dyDescent="0.3">
      <c r="I6029" s="12"/>
      <c r="N6029" s="12"/>
      <c r="S6029" s="12"/>
      <c r="X6029" s="12"/>
      <c r="AM6029" s="12"/>
    </row>
    <row r="6030" spans="9:39" x14ac:dyDescent="0.3">
      <c r="I6030" s="12"/>
      <c r="N6030" s="12"/>
      <c r="S6030" s="12"/>
      <c r="X6030" s="12"/>
      <c r="AM6030" s="12"/>
    </row>
    <row r="6031" spans="9:39" x14ac:dyDescent="0.3">
      <c r="I6031" s="12"/>
      <c r="N6031" s="12"/>
      <c r="S6031" s="12"/>
      <c r="X6031" s="12"/>
      <c r="AM6031" s="12"/>
    </row>
    <row r="6032" spans="9:39" x14ac:dyDescent="0.3">
      <c r="I6032" s="12"/>
      <c r="N6032" s="12"/>
      <c r="S6032" s="12"/>
      <c r="X6032" s="12"/>
      <c r="AM6032" s="12"/>
    </row>
    <row r="6033" spans="9:39" x14ac:dyDescent="0.3">
      <c r="I6033" s="12"/>
      <c r="N6033" s="12"/>
      <c r="S6033" s="12"/>
      <c r="X6033" s="12"/>
      <c r="AM6033" s="12"/>
    </row>
    <row r="6034" spans="9:39" x14ac:dyDescent="0.3">
      <c r="I6034" s="12"/>
      <c r="N6034" s="12"/>
      <c r="S6034" s="12"/>
      <c r="X6034" s="12"/>
      <c r="AM6034" s="12"/>
    </row>
    <row r="6035" spans="9:39" x14ac:dyDescent="0.3">
      <c r="I6035" s="12"/>
      <c r="N6035" s="12"/>
      <c r="S6035" s="12"/>
      <c r="X6035" s="12"/>
      <c r="AM6035" s="12"/>
    </row>
    <row r="6036" spans="9:39" x14ac:dyDescent="0.3">
      <c r="I6036" s="12"/>
      <c r="N6036" s="12"/>
      <c r="S6036" s="12"/>
      <c r="X6036" s="12"/>
      <c r="AM6036" s="12"/>
    </row>
    <row r="6037" spans="9:39" x14ac:dyDescent="0.3">
      <c r="I6037" s="12"/>
      <c r="N6037" s="12"/>
      <c r="S6037" s="12"/>
      <c r="X6037" s="12"/>
      <c r="AM6037" s="12"/>
    </row>
    <row r="6038" spans="9:39" x14ac:dyDescent="0.3">
      <c r="I6038" s="12"/>
      <c r="N6038" s="12"/>
      <c r="S6038" s="12"/>
      <c r="X6038" s="12"/>
      <c r="AM6038" s="12"/>
    </row>
    <row r="6039" spans="9:39" x14ac:dyDescent="0.3">
      <c r="I6039" s="12"/>
      <c r="N6039" s="12"/>
      <c r="S6039" s="12"/>
      <c r="X6039" s="12"/>
      <c r="AM6039" s="12"/>
    </row>
    <row r="6040" spans="9:39" x14ac:dyDescent="0.3">
      <c r="I6040" s="12"/>
      <c r="N6040" s="12"/>
      <c r="S6040" s="12"/>
      <c r="X6040" s="12"/>
      <c r="AM6040" s="12"/>
    </row>
    <row r="6041" spans="9:39" x14ac:dyDescent="0.3">
      <c r="I6041" s="12"/>
      <c r="N6041" s="12"/>
      <c r="S6041" s="12"/>
      <c r="X6041" s="12"/>
      <c r="AM6041" s="12"/>
    </row>
    <row r="6042" spans="9:39" x14ac:dyDescent="0.3">
      <c r="I6042" s="12"/>
      <c r="N6042" s="12"/>
      <c r="S6042" s="12"/>
      <c r="X6042" s="12"/>
      <c r="AM6042" s="12"/>
    </row>
    <row r="6043" spans="9:39" x14ac:dyDescent="0.3">
      <c r="I6043" s="12"/>
      <c r="N6043" s="12"/>
      <c r="S6043" s="12"/>
      <c r="X6043" s="12"/>
      <c r="AM6043" s="12"/>
    </row>
    <row r="6044" spans="9:39" x14ac:dyDescent="0.3">
      <c r="I6044" s="12"/>
      <c r="N6044" s="12"/>
      <c r="S6044" s="12"/>
      <c r="X6044" s="12"/>
      <c r="AM6044" s="12"/>
    </row>
    <row r="6045" spans="9:39" x14ac:dyDescent="0.3">
      <c r="I6045" s="12"/>
      <c r="N6045" s="12"/>
      <c r="S6045" s="12"/>
      <c r="X6045" s="12"/>
      <c r="AM6045" s="12"/>
    </row>
    <row r="6046" spans="9:39" x14ac:dyDescent="0.3">
      <c r="I6046" s="12"/>
      <c r="N6046" s="12"/>
      <c r="S6046" s="12"/>
      <c r="X6046" s="12"/>
      <c r="AM6046" s="12"/>
    </row>
    <row r="6047" spans="9:39" x14ac:dyDescent="0.3">
      <c r="I6047" s="12"/>
      <c r="N6047" s="12"/>
      <c r="S6047" s="12"/>
      <c r="X6047" s="12"/>
      <c r="AM6047" s="12"/>
    </row>
    <row r="6048" spans="9:39" x14ac:dyDescent="0.3">
      <c r="I6048" s="12"/>
      <c r="N6048" s="12"/>
      <c r="S6048" s="12"/>
      <c r="X6048" s="12"/>
      <c r="AM6048" s="12"/>
    </row>
    <row r="6049" spans="9:39" x14ac:dyDescent="0.3">
      <c r="I6049" s="12"/>
      <c r="N6049" s="12"/>
      <c r="S6049" s="12"/>
      <c r="X6049" s="12"/>
      <c r="AM6049" s="12"/>
    </row>
    <row r="6050" spans="9:39" x14ac:dyDescent="0.3">
      <c r="I6050" s="12"/>
      <c r="N6050" s="12"/>
      <c r="S6050" s="12"/>
      <c r="X6050" s="12"/>
      <c r="AM6050" s="12"/>
    </row>
    <row r="6051" spans="9:39" x14ac:dyDescent="0.3">
      <c r="I6051" s="12"/>
      <c r="N6051" s="12"/>
      <c r="S6051" s="12"/>
      <c r="X6051" s="12"/>
      <c r="AM6051" s="12"/>
    </row>
    <row r="6052" spans="9:39" x14ac:dyDescent="0.3">
      <c r="I6052" s="12"/>
      <c r="N6052" s="12"/>
      <c r="S6052" s="12"/>
      <c r="X6052" s="12"/>
      <c r="AM6052" s="12"/>
    </row>
    <row r="6053" spans="9:39" x14ac:dyDescent="0.3">
      <c r="I6053" s="12"/>
      <c r="N6053" s="12"/>
      <c r="S6053" s="12"/>
      <c r="X6053" s="12"/>
      <c r="AM6053" s="12"/>
    </row>
    <row r="6054" spans="9:39" x14ac:dyDescent="0.3">
      <c r="I6054" s="12"/>
      <c r="N6054" s="12"/>
      <c r="S6054" s="12"/>
      <c r="X6054" s="12"/>
      <c r="AM6054" s="12"/>
    </row>
    <row r="6055" spans="9:39" x14ac:dyDescent="0.3">
      <c r="I6055" s="12"/>
      <c r="N6055" s="12"/>
      <c r="S6055" s="12"/>
      <c r="X6055" s="12"/>
      <c r="AM6055" s="12"/>
    </row>
    <row r="6056" spans="9:39" x14ac:dyDescent="0.3">
      <c r="I6056" s="12"/>
      <c r="N6056" s="12"/>
      <c r="S6056" s="12"/>
      <c r="X6056" s="12"/>
      <c r="AM6056" s="12"/>
    </row>
    <row r="6057" spans="9:39" x14ac:dyDescent="0.3">
      <c r="I6057" s="12"/>
      <c r="N6057" s="12"/>
      <c r="S6057" s="12"/>
      <c r="X6057" s="12"/>
      <c r="AM6057" s="12"/>
    </row>
    <row r="6058" spans="9:39" x14ac:dyDescent="0.3">
      <c r="I6058" s="12"/>
      <c r="N6058" s="12"/>
      <c r="S6058" s="12"/>
      <c r="X6058" s="12"/>
      <c r="AM6058" s="12"/>
    </row>
    <row r="6059" spans="9:39" x14ac:dyDescent="0.3">
      <c r="I6059" s="12"/>
      <c r="N6059" s="12"/>
      <c r="S6059" s="12"/>
      <c r="X6059" s="12"/>
      <c r="AM6059" s="12"/>
    </row>
    <row r="6060" spans="9:39" x14ac:dyDescent="0.3">
      <c r="I6060" s="12"/>
      <c r="N6060" s="12"/>
      <c r="S6060" s="12"/>
      <c r="X6060" s="12"/>
      <c r="AM6060" s="12"/>
    </row>
    <row r="6061" spans="9:39" x14ac:dyDescent="0.3">
      <c r="I6061" s="12"/>
      <c r="N6061" s="12"/>
      <c r="S6061" s="12"/>
      <c r="X6061" s="12"/>
      <c r="AM6061" s="12"/>
    </row>
    <row r="6062" spans="9:39" x14ac:dyDescent="0.3">
      <c r="I6062" s="12"/>
      <c r="N6062" s="12"/>
      <c r="S6062" s="12"/>
      <c r="X6062" s="12"/>
      <c r="AM6062" s="12"/>
    </row>
    <row r="6063" spans="9:39" x14ac:dyDescent="0.3">
      <c r="I6063" s="12"/>
      <c r="N6063" s="12"/>
      <c r="S6063" s="12"/>
      <c r="X6063" s="12"/>
      <c r="AM6063" s="12"/>
    </row>
    <row r="6064" spans="9:39" x14ac:dyDescent="0.3">
      <c r="I6064" s="12"/>
      <c r="N6064" s="12"/>
      <c r="S6064" s="12"/>
      <c r="X6064" s="12"/>
      <c r="AM6064" s="12"/>
    </row>
    <row r="6065" spans="9:39" x14ac:dyDescent="0.3">
      <c r="I6065" s="12"/>
      <c r="N6065" s="12"/>
      <c r="S6065" s="12"/>
      <c r="X6065" s="12"/>
      <c r="AM6065" s="12"/>
    </row>
    <row r="6066" spans="9:39" x14ac:dyDescent="0.3">
      <c r="I6066" s="12"/>
      <c r="N6066" s="12"/>
      <c r="S6066" s="12"/>
      <c r="X6066" s="12"/>
      <c r="AM6066" s="12"/>
    </row>
    <row r="6067" spans="9:39" x14ac:dyDescent="0.3">
      <c r="I6067" s="12"/>
      <c r="N6067" s="12"/>
      <c r="S6067" s="12"/>
      <c r="X6067" s="12"/>
      <c r="AM6067" s="12"/>
    </row>
    <row r="6068" spans="9:39" x14ac:dyDescent="0.3">
      <c r="I6068" s="12"/>
      <c r="N6068" s="12"/>
      <c r="S6068" s="12"/>
      <c r="X6068" s="12"/>
      <c r="AM6068" s="12"/>
    </row>
    <row r="6069" spans="9:39" x14ac:dyDescent="0.3">
      <c r="I6069" s="12"/>
      <c r="N6069" s="12"/>
      <c r="S6069" s="12"/>
      <c r="X6069" s="12"/>
      <c r="AM6069" s="12"/>
    </row>
    <row r="6070" spans="9:39" x14ac:dyDescent="0.3">
      <c r="I6070" s="12"/>
      <c r="N6070" s="12"/>
      <c r="S6070" s="12"/>
      <c r="X6070" s="12"/>
      <c r="AM6070" s="12"/>
    </row>
    <row r="6071" spans="9:39" x14ac:dyDescent="0.3">
      <c r="I6071" s="12"/>
      <c r="N6071" s="12"/>
      <c r="S6071" s="12"/>
      <c r="X6071" s="12"/>
      <c r="AM6071" s="12"/>
    </row>
    <row r="6072" spans="9:39" x14ac:dyDescent="0.3">
      <c r="I6072" s="12"/>
      <c r="N6072" s="12"/>
      <c r="S6072" s="12"/>
      <c r="X6072" s="12"/>
      <c r="AM6072" s="12"/>
    </row>
    <row r="6073" spans="9:39" x14ac:dyDescent="0.3">
      <c r="I6073" s="12"/>
      <c r="N6073" s="12"/>
      <c r="S6073" s="12"/>
      <c r="X6073" s="12"/>
      <c r="AM6073" s="12"/>
    </row>
    <row r="6074" spans="9:39" x14ac:dyDescent="0.3">
      <c r="I6074" s="12"/>
      <c r="N6074" s="12"/>
      <c r="S6074" s="12"/>
      <c r="X6074" s="12"/>
      <c r="AM6074" s="12"/>
    </row>
    <row r="6075" spans="9:39" x14ac:dyDescent="0.3">
      <c r="I6075" s="12"/>
      <c r="N6075" s="12"/>
      <c r="S6075" s="12"/>
      <c r="X6075" s="12"/>
      <c r="AM6075" s="12"/>
    </row>
    <row r="6076" spans="9:39" x14ac:dyDescent="0.3">
      <c r="I6076" s="12"/>
      <c r="N6076" s="12"/>
      <c r="S6076" s="12"/>
      <c r="X6076" s="12"/>
      <c r="AM6076" s="12"/>
    </row>
    <row r="6077" spans="9:39" x14ac:dyDescent="0.3">
      <c r="I6077" s="12"/>
      <c r="N6077" s="12"/>
      <c r="S6077" s="12"/>
      <c r="X6077" s="12"/>
      <c r="AM6077" s="12"/>
    </row>
    <row r="6078" spans="9:39" x14ac:dyDescent="0.3">
      <c r="I6078" s="12"/>
      <c r="N6078" s="12"/>
      <c r="S6078" s="12"/>
      <c r="X6078" s="12"/>
      <c r="AM6078" s="12"/>
    </row>
    <row r="6079" spans="9:39" x14ac:dyDescent="0.3">
      <c r="I6079" s="12"/>
      <c r="N6079" s="12"/>
      <c r="S6079" s="12"/>
      <c r="X6079" s="12"/>
      <c r="AM6079" s="12"/>
    </row>
    <row r="6080" spans="9:39" x14ac:dyDescent="0.3">
      <c r="I6080" s="12"/>
      <c r="N6080" s="12"/>
      <c r="S6080" s="12"/>
      <c r="X6080" s="12"/>
      <c r="AM6080" s="12"/>
    </row>
    <row r="6081" spans="9:39" x14ac:dyDescent="0.3">
      <c r="I6081" s="12"/>
      <c r="N6081" s="12"/>
      <c r="S6081" s="12"/>
      <c r="X6081" s="12"/>
      <c r="AM6081" s="12"/>
    </row>
    <row r="6082" spans="9:39" x14ac:dyDescent="0.3">
      <c r="I6082" s="12"/>
      <c r="N6082" s="12"/>
      <c r="S6082" s="12"/>
      <c r="X6082" s="12"/>
      <c r="AM6082" s="12"/>
    </row>
    <row r="6083" spans="9:39" x14ac:dyDescent="0.3">
      <c r="I6083" s="12"/>
      <c r="N6083" s="12"/>
      <c r="S6083" s="12"/>
      <c r="X6083" s="12"/>
      <c r="AM6083" s="12"/>
    </row>
    <row r="6084" spans="9:39" x14ac:dyDescent="0.3">
      <c r="I6084" s="12"/>
      <c r="N6084" s="12"/>
      <c r="S6084" s="12"/>
      <c r="X6084" s="12"/>
      <c r="AM6084" s="12"/>
    </row>
    <row r="6085" spans="9:39" x14ac:dyDescent="0.3">
      <c r="I6085" s="12"/>
      <c r="N6085" s="12"/>
      <c r="S6085" s="12"/>
      <c r="X6085" s="12"/>
      <c r="AM6085" s="12"/>
    </row>
    <row r="6086" spans="9:39" x14ac:dyDescent="0.3">
      <c r="I6086" s="12"/>
      <c r="N6086" s="12"/>
      <c r="S6086" s="12"/>
      <c r="X6086" s="12"/>
      <c r="AM6086" s="12"/>
    </row>
    <row r="6087" spans="9:39" x14ac:dyDescent="0.3">
      <c r="I6087" s="12"/>
      <c r="N6087" s="12"/>
      <c r="S6087" s="12"/>
      <c r="X6087" s="12"/>
      <c r="AM6087" s="12"/>
    </row>
    <row r="6088" spans="9:39" x14ac:dyDescent="0.3">
      <c r="I6088" s="12"/>
      <c r="N6088" s="12"/>
      <c r="S6088" s="12"/>
      <c r="X6088" s="12"/>
      <c r="AM6088" s="12"/>
    </row>
    <row r="6089" spans="9:39" x14ac:dyDescent="0.3">
      <c r="I6089" s="12"/>
      <c r="N6089" s="12"/>
      <c r="S6089" s="12"/>
      <c r="X6089" s="12"/>
      <c r="AM6089" s="12"/>
    </row>
    <row r="6090" spans="9:39" x14ac:dyDescent="0.3">
      <c r="I6090" s="12"/>
      <c r="N6090" s="12"/>
      <c r="S6090" s="12"/>
      <c r="X6090" s="12"/>
      <c r="AM6090" s="12"/>
    </row>
    <row r="6091" spans="9:39" x14ac:dyDescent="0.3">
      <c r="I6091" s="12"/>
      <c r="N6091" s="12"/>
      <c r="S6091" s="12"/>
      <c r="X6091" s="12"/>
      <c r="AM6091" s="12"/>
    </row>
    <row r="6092" spans="9:39" x14ac:dyDescent="0.3">
      <c r="I6092" s="12"/>
      <c r="N6092" s="12"/>
      <c r="S6092" s="12"/>
      <c r="X6092" s="12"/>
      <c r="AM6092" s="12"/>
    </row>
    <row r="6093" spans="9:39" x14ac:dyDescent="0.3">
      <c r="I6093" s="12"/>
      <c r="N6093" s="12"/>
      <c r="S6093" s="12"/>
      <c r="X6093" s="12"/>
      <c r="AM6093" s="12"/>
    </row>
    <row r="6094" spans="9:39" x14ac:dyDescent="0.3">
      <c r="I6094" s="12"/>
      <c r="N6094" s="12"/>
      <c r="S6094" s="12"/>
      <c r="X6094" s="12"/>
      <c r="AM6094" s="12"/>
    </row>
    <row r="6095" spans="9:39" x14ac:dyDescent="0.3">
      <c r="I6095" s="12"/>
      <c r="N6095" s="12"/>
      <c r="S6095" s="12"/>
      <c r="X6095" s="12"/>
      <c r="AM6095" s="12"/>
    </row>
    <row r="6096" spans="9:39" x14ac:dyDescent="0.3">
      <c r="I6096" s="12"/>
      <c r="N6096" s="12"/>
      <c r="S6096" s="12"/>
      <c r="X6096" s="12"/>
      <c r="AM6096" s="12"/>
    </row>
    <row r="6097" spans="9:39" x14ac:dyDescent="0.3">
      <c r="I6097" s="12"/>
      <c r="N6097" s="12"/>
      <c r="S6097" s="12"/>
      <c r="X6097" s="12"/>
      <c r="AM6097" s="12"/>
    </row>
    <row r="6098" spans="9:39" x14ac:dyDescent="0.3">
      <c r="I6098" s="12"/>
      <c r="N6098" s="12"/>
      <c r="S6098" s="12"/>
      <c r="X6098" s="12"/>
      <c r="AM6098" s="12"/>
    </row>
    <row r="6099" spans="9:39" x14ac:dyDescent="0.3">
      <c r="I6099" s="12"/>
      <c r="N6099" s="12"/>
      <c r="S6099" s="12"/>
      <c r="X6099" s="12"/>
      <c r="AM6099" s="12"/>
    </row>
    <row r="6100" spans="9:39" x14ac:dyDescent="0.3">
      <c r="I6100" s="12"/>
      <c r="N6100" s="12"/>
      <c r="S6100" s="12"/>
      <c r="X6100" s="12"/>
      <c r="AM6100" s="12"/>
    </row>
    <row r="6101" spans="9:39" x14ac:dyDescent="0.3">
      <c r="I6101" s="12"/>
      <c r="N6101" s="12"/>
      <c r="S6101" s="12"/>
      <c r="X6101" s="12"/>
      <c r="AM6101" s="12"/>
    </row>
    <row r="6102" spans="9:39" x14ac:dyDescent="0.3">
      <c r="I6102" s="12"/>
      <c r="N6102" s="12"/>
      <c r="S6102" s="12"/>
      <c r="X6102" s="12"/>
      <c r="AM6102" s="12"/>
    </row>
    <row r="6103" spans="9:39" x14ac:dyDescent="0.3">
      <c r="I6103" s="12"/>
      <c r="N6103" s="12"/>
      <c r="S6103" s="12"/>
      <c r="X6103" s="12"/>
      <c r="AM6103" s="12"/>
    </row>
    <row r="6104" spans="9:39" x14ac:dyDescent="0.3">
      <c r="I6104" s="12"/>
      <c r="N6104" s="12"/>
      <c r="S6104" s="12"/>
      <c r="X6104" s="12"/>
      <c r="AM6104" s="12"/>
    </row>
    <row r="6105" spans="9:39" x14ac:dyDescent="0.3">
      <c r="I6105" s="12"/>
      <c r="N6105" s="12"/>
      <c r="S6105" s="12"/>
      <c r="X6105" s="12"/>
      <c r="AM6105" s="12"/>
    </row>
    <row r="6106" spans="9:39" x14ac:dyDescent="0.3">
      <c r="I6106" s="12"/>
      <c r="N6106" s="12"/>
      <c r="S6106" s="12"/>
      <c r="X6106" s="12"/>
      <c r="AM6106" s="12"/>
    </row>
    <row r="6107" spans="9:39" x14ac:dyDescent="0.3">
      <c r="I6107" s="12"/>
      <c r="N6107" s="12"/>
      <c r="S6107" s="12"/>
      <c r="X6107" s="12"/>
      <c r="AM6107" s="12"/>
    </row>
    <row r="6108" spans="9:39" x14ac:dyDescent="0.3">
      <c r="I6108" s="12"/>
      <c r="N6108" s="12"/>
      <c r="S6108" s="12"/>
      <c r="X6108" s="12"/>
      <c r="AM6108" s="12"/>
    </row>
    <row r="6109" spans="9:39" x14ac:dyDescent="0.3">
      <c r="I6109" s="12"/>
      <c r="N6109" s="12"/>
      <c r="S6109" s="12"/>
      <c r="X6109" s="12"/>
      <c r="AM6109" s="12"/>
    </row>
    <row r="6110" spans="9:39" x14ac:dyDescent="0.3">
      <c r="I6110" s="12"/>
      <c r="N6110" s="12"/>
      <c r="S6110" s="12"/>
      <c r="X6110" s="12"/>
      <c r="AM6110" s="12"/>
    </row>
    <row r="6111" spans="9:39" x14ac:dyDescent="0.3">
      <c r="I6111" s="12"/>
      <c r="N6111" s="12"/>
      <c r="S6111" s="12"/>
      <c r="X6111" s="12"/>
      <c r="AM6111" s="12"/>
    </row>
    <row r="6112" spans="9:39" x14ac:dyDescent="0.3">
      <c r="I6112" s="12"/>
      <c r="N6112" s="12"/>
      <c r="S6112" s="12"/>
      <c r="X6112" s="12"/>
      <c r="AM6112" s="12"/>
    </row>
    <row r="6113" spans="9:39" x14ac:dyDescent="0.3">
      <c r="I6113" s="12"/>
      <c r="N6113" s="12"/>
      <c r="S6113" s="12"/>
      <c r="X6113" s="12"/>
      <c r="AM6113" s="12"/>
    </row>
    <row r="6114" spans="9:39" x14ac:dyDescent="0.3">
      <c r="I6114" s="12"/>
      <c r="N6114" s="12"/>
      <c r="S6114" s="12"/>
      <c r="X6114" s="12"/>
      <c r="AM6114" s="12"/>
    </row>
    <row r="6115" spans="9:39" x14ac:dyDescent="0.3">
      <c r="I6115" s="12"/>
      <c r="N6115" s="12"/>
      <c r="S6115" s="12"/>
      <c r="X6115" s="12"/>
      <c r="AM6115" s="12"/>
    </row>
    <row r="6116" spans="9:39" x14ac:dyDescent="0.3">
      <c r="I6116" s="12"/>
      <c r="N6116" s="12"/>
      <c r="S6116" s="12"/>
      <c r="X6116" s="12"/>
      <c r="AM6116" s="12"/>
    </row>
    <row r="6117" spans="9:39" x14ac:dyDescent="0.3">
      <c r="I6117" s="12"/>
      <c r="N6117" s="12"/>
      <c r="S6117" s="12"/>
      <c r="X6117" s="12"/>
      <c r="AM6117" s="12"/>
    </row>
    <row r="6118" spans="9:39" x14ac:dyDescent="0.3">
      <c r="I6118" s="12"/>
      <c r="N6118" s="12"/>
      <c r="S6118" s="12"/>
      <c r="X6118" s="12"/>
      <c r="AM6118" s="12"/>
    </row>
    <row r="6119" spans="9:39" x14ac:dyDescent="0.3">
      <c r="I6119" s="12"/>
      <c r="N6119" s="12"/>
      <c r="S6119" s="12"/>
      <c r="X6119" s="12"/>
      <c r="AM6119" s="12"/>
    </row>
    <row r="6120" spans="9:39" x14ac:dyDescent="0.3">
      <c r="I6120" s="12"/>
      <c r="N6120" s="12"/>
      <c r="S6120" s="12"/>
      <c r="X6120" s="12"/>
      <c r="AM6120" s="12"/>
    </row>
    <row r="6121" spans="9:39" x14ac:dyDescent="0.3">
      <c r="I6121" s="12"/>
      <c r="N6121" s="12"/>
      <c r="S6121" s="12"/>
      <c r="X6121" s="12"/>
      <c r="AM6121" s="12"/>
    </row>
    <row r="6122" spans="9:39" x14ac:dyDescent="0.3">
      <c r="I6122" s="12"/>
      <c r="N6122" s="12"/>
      <c r="S6122" s="12"/>
      <c r="X6122" s="12"/>
      <c r="AM6122" s="12"/>
    </row>
    <row r="6123" spans="9:39" x14ac:dyDescent="0.3">
      <c r="I6123" s="12"/>
      <c r="N6123" s="12"/>
      <c r="S6123" s="12"/>
      <c r="X6123" s="12"/>
      <c r="AM6123" s="12"/>
    </row>
    <row r="6124" spans="9:39" x14ac:dyDescent="0.3">
      <c r="I6124" s="12"/>
      <c r="N6124" s="12"/>
      <c r="S6124" s="12"/>
      <c r="X6124" s="12"/>
      <c r="AM6124" s="12"/>
    </row>
    <row r="6125" spans="9:39" x14ac:dyDescent="0.3">
      <c r="I6125" s="12"/>
      <c r="N6125" s="12"/>
      <c r="S6125" s="12"/>
      <c r="X6125" s="12"/>
      <c r="AM6125" s="12"/>
    </row>
    <row r="6126" spans="9:39" x14ac:dyDescent="0.3">
      <c r="I6126" s="12"/>
      <c r="N6126" s="12"/>
      <c r="S6126" s="12"/>
      <c r="X6126" s="12"/>
      <c r="AM6126" s="12"/>
    </row>
    <row r="6127" spans="9:39" x14ac:dyDescent="0.3">
      <c r="I6127" s="12"/>
      <c r="N6127" s="12"/>
      <c r="S6127" s="12"/>
      <c r="X6127" s="12"/>
      <c r="AM6127" s="12"/>
    </row>
    <row r="6128" spans="9:39" x14ac:dyDescent="0.3">
      <c r="I6128" s="12"/>
      <c r="N6128" s="12"/>
      <c r="S6128" s="12"/>
      <c r="X6128" s="12"/>
      <c r="AM6128" s="12"/>
    </row>
    <row r="6129" spans="9:39" x14ac:dyDescent="0.3">
      <c r="I6129" s="12"/>
      <c r="N6129" s="12"/>
      <c r="S6129" s="12"/>
      <c r="X6129" s="12"/>
      <c r="AM6129" s="12"/>
    </row>
    <row r="6130" spans="9:39" x14ac:dyDescent="0.3">
      <c r="I6130" s="12"/>
      <c r="N6130" s="12"/>
      <c r="S6130" s="12"/>
      <c r="X6130" s="12"/>
      <c r="AM6130" s="12"/>
    </row>
    <row r="6131" spans="9:39" x14ac:dyDescent="0.3">
      <c r="I6131" s="12"/>
      <c r="N6131" s="12"/>
      <c r="S6131" s="12"/>
      <c r="X6131" s="12"/>
      <c r="AM6131" s="12"/>
    </row>
    <row r="6132" spans="9:39" x14ac:dyDescent="0.3">
      <c r="I6132" s="12"/>
      <c r="N6132" s="12"/>
      <c r="S6132" s="12"/>
      <c r="X6132" s="12"/>
      <c r="AM6132" s="12"/>
    </row>
    <row r="6133" spans="9:39" x14ac:dyDescent="0.3">
      <c r="I6133" s="12"/>
      <c r="N6133" s="12"/>
      <c r="S6133" s="12"/>
      <c r="X6133" s="12"/>
      <c r="AM6133" s="12"/>
    </row>
    <row r="6134" spans="9:39" x14ac:dyDescent="0.3">
      <c r="I6134" s="12"/>
      <c r="N6134" s="12"/>
      <c r="S6134" s="12"/>
      <c r="X6134" s="12"/>
      <c r="AM6134" s="12"/>
    </row>
    <row r="6135" spans="9:39" x14ac:dyDescent="0.3">
      <c r="I6135" s="12"/>
      <c r="N6135" s="12"/>
      <c r="S6135" s="12"/>
      <c r="X6135" s="12"/>
      <c r="AM6135" s="12"/>
    </row>
    <row r="6136" spans="9:39" x14ac:dyDescent="0.3">
      <c r="I6136" s="12"/>
      <c r="N6136" s="12"/>
      <c r="S6136" s="12"/>
      <c r="X6136" s="12"/>
      <c r="AM6136" s="12"/>
    </row>
    <row r="6137" spans="9:39" x14ac:dyDescent="0.3">
      <c r="I6137" s="12"/>
      <c r="N6137" s="12"/>
      <c r="S6137" s="12"/>
      <c r="X6137" s="12"/>
      <c r="AM6137" s="12"/>
    </row>
    <row r="6138" spans="9:39" x14ac:dyDescent="0.3">
      <c r="I6138" s="12"/>
      <c r="N6138" s="12"/>
      <c r="S6138" s="12"/>
      <c r="X6138" s="12"/>
      <c r="AM6138" s="12"/>
    </row>
    <row r="6139" spans="9:39" x14ac:dyDescent="0.3">
      <c r="I6139" s="12"/>
      <c r="N6139" s="12"/>
      <c r="S6139" s="12"/>
      <c r="X6139" s="12"/>
      <c r="AM6139" s="12"/>
    </row>
    <row r="6140" spans="9:39" x14ac:dyDescent="0.3">
      <c r="I6140" s="12"/>
      <c r="N6140" s="12"/>
      <c r="S6140" s="12"/>
      <c r="X6140" s="12"/>
      <c r="AM6140" s="12"/>
    </row>
    <row r="6141" spans="9:39" x14ac:dyDescent="0.3">
      <c r="I6141" s="12"/>
      <c r="N6141" s="12"/>
      <c r="S6141" s="12"/>
      <c r="X6141" s="12"/>
      <c r="AM6141" s="12"/>
    </row>
    <row r="6142" spans="9:39" x14ac:dyDescent="0.3">
      <c r="I6142" s="12"/>
      <c r="N6142" s="12"/>
      <c r="S6142" s="12"/>
      <c r="X6142" s="12"/>
      <c r="AM6142" s="12"/>
    </row>
    <row r="6143" spans="9:39" x14ac:dyDescent="0.3">
      <c r="I6143" s="12"/>
      <c r="N6143" s="12"/>
      <c r="S6143" s="12"/>
      <c r="X6143" s="12"/>
      <c r="AM6143" s="12"/>
    </row>
    <row r="6144" spans="9:39" x14ac:dyDescent="0.3">
      <c r="I6144" s="12"/>
      <c r="N6144" s="12"/>
      <c r="S6144" s="12"/>
      <c r="X6144" s="12"/>
      <c r="AM6144" s="12"/>
    </row>
    <row r="6145" spans="9:39" x14ac:dyDescent="0.3">
      <c r="I6145" s="12"/>
      <c r="N6145" s="12"/>
      <c r="S6145" s="12"/>
      <c r="X6145" s="12"/>
      <c r="AM6145" s="12"/>
    </row>
    <row r="6146" spans="9:39" x14ac:dyDescent="0.3">
      <c r="I6146" s="12"/>
      <c r="N6146" s="12"/>
      <c r="S6146" s="12"/>
      <c r="X6146" s="12"/>
      <c r="AM6146" s="12"/>
    </row>
    <row r="6147" spans="9:39" x14ac:dyDescent="0.3">
      <c r="I6147" s="12"/>
      <c r="N6147" s="12"/>
      <c r="S6147" s="12"/>
      <c r="X6147" s="12"/>
      <c r="AM6147" s="12"/>
    </row>
    <row r="6148" spans="9:39" x14ac:dyDescent="0.3">
      <c r="I6148" s="12"/>
      <c r="N6148" s="12"/>
      <c r="S6148" s="12"/>
      <c r="X6148" s="12"/>
      <c r="AM6148" s="12"/>
    </row>
    <row r="6149" spans="9:39" x14ac:dyDescent="0.3">
      <c r="I6149" s="12"/>
      <c r="N6149" s="12"/>
      <c r="S6149" s="12"/>
      <c r="X6149" s="12"/>
      <c r="AM6149" s="12"/>
    </row>
    <row r="6150" spans="9:39" x14ac:dyDescent="0.3">
      <c r="I6150" s="12"/>
      <c r="N6150" s="12"/>
      <c r="S6150" s="12"/>
      <c r="X6150" s="12"/>
      <c r="AM6150" s="12"/>
    </row>
    <row r="6151" spans="9:39" x14ac:dyDescent="0.3">
      <c r="I6151" s="12"/>
      <c r="N6151" s="12"/>
      <c r="S6151" s="12"/>
      <c r="X6151" s="12"/>
      <c r="AM6151" s="12"/>
    </row>
    <row r="6152" spans="9:39" x14ac:dyDescent="0.3">
      <c r="I6152" s="12"/>
      <c r="N6152" s="12"/>
      <c r="S6152" s="12"/>
      <c r="X6152" s="12"/>
      <c r="AM6152" s="12"/>
    </row>
    <row r="6153" spans="9:39" x14ac:dyDescent="0.3">
      <c r="I6153" s="12"/>
      <c r="N6153" s="12"/>
      <c r="S6153" s="12"/>
      <c r="X6153" s="12"/>
      <c r="AM6153" s="12"/>
    </row>
    <row r="6154" spans="9:39" x14ac:dyDescent="0.3">
      <c r="I6154" s="12"/>
      <c r="N6154" s="12"/>
      <c r="S6154" s="12"/>
      <c r="X6154" s="12"/>
      <c r="AM6154" s="12"/>
    </row>
    <row r="6155" spans="9:39" x14ac:dyDescent="0.3">
      <c r="I6155" s="12"/>
      <c r="N6155" s="12"/>
      <c r="S6155" s="12"/>
      <c r="X6155" s="12"/>
      <c r="AM6155" s="12"/>
    </row>
    <row r="6156" spans="9:39" x14ac:dyDescent="0.3">
      <c r="I6156" s="12"/>
      <c r="N6156" s="12"/>
      <c r="S6156" s="12"/>
      <c r="X6156" s="12"/>
      <c r="AM6156" s="12"/>
    </row>
    <row r="6157" spans="9:39" x14ac:dyDescent="0.3">
      <c r="I6157" s="12"/>
      <c r="N6157" s="12"/>
      <c r="S6157" s="12"/>
      <c r="X6157" s="12"/>
      <c r="AM6157" s="12"/>
    </row>
    <row r="6158" spans="9:39" x14ac:dyDescent="0.3">
      <c r="I6158" s="12"/>
      <c r="N6158" s="12"/>
      <c r="S6158" s="12"/>
      <c r="X6158" s="12"/>
      <c r="AM6158" s="12"/>
    </row>
    <row r="6159" spans="9:39" x14ac:dyDescent="0.3">
      <c r="I6159" s="12"/>
      <c r="N6159" s="12"/>
      <c r="S6159" s="12"/>
      <c r="X6159" s="12"/>
      <c r="AM6159" s="12"/>
    </row>
    <row r="6160" spans="9:39" x14ac:dyDescent="0.3">
      <c r="I6160" s="12"/>
      <c r="N6160" s="12"/>
      <c r="S6160" s="12"/>
      <c r="X6160" s="12"/>
      <c r="AM6160" s="12"/>
    </row>
    <row r="6161" spans="9:39" x14ac:dyDescent="0.3">
      <c r="I6161" s="12"/>
      <c r="N6161" s="12"/>
      <c r="S6161" s="12"/>
      <c r="X6161" s="12"/>
      <c r="AM6161" s="12"/>
    </row>
    <row r="6162" spans="9:39" x14ac:dyDescent="0.3">
      <c r="I6162" s="12"/>
      <c r="N6162" s="12"/>
      <c r="S6162" s="12"/>
      <c r="X6162" s="12"/>
      <c r="AM6162" s="12"/>
    </row>
    <row r="6163" spans="9:39" x14ac:dyDescent="0.3">
      <c r="I6163" s="12"/>
      <c r="N6163" s="12"/>
      <c r="S6163" s="12"/>
      <c r="X6163" s="12"/>
      <c r="AM6163" s="12"/>
    </row>
    <row r="6164" spans="9:39" x14ac:dyDescent="0.3">
      <c r="I6164" s="12"/>
      <c r="N6164" s="12"/>
      <c r="S6164" s="12"/>
      <c r="X6164" s="12"/>
      <c r="AM6164" s="12"/>
    </row>
    <row r="6165" spans="9:39" x14ac:dyDescent="0.3">
      <c r="I6165" s="12"/>
      <c r="N6165" s="12"/>
      <c r="S6165" s="12"/>
      <c r="X6165" s="12"/>
      <c r="AM6165" s="12"/>
    </row>
    <row r="6166" spans="9:39" x14ac:dyDescent="0.3">
      <c r="I6166" s="12"/>
      <c r="N6166" s="12"/>
      <c r="S6166" s="12"/>
      <c r="X6166" s="12"/>
      <c r="AM6166" s="12"/>
    </row>
    <row r="6167" spans="9:39" x14ac:dyDescent="0.3">
      <c r="I6167" s="12"/>
      <c r="N6167" s="12"/>
      <c r="S6167" s="12"/>
      <c r="X6167" s="12"/>
      <c r="AM6167" s="12"/>
    </row>
    <row r="6168" spans="9:39" x14ac:dyDescent="0.3">
      <c r="I6168" s="12"/>
      <c r="N6168" s="12"/>
      <c r="S6168" s="12"/>
      <c r="X6168" s="12"/>
      <c r="AM6168" s="12"/>
    </row>
    <row r="6169" spans="9:39" x14ac:dyDescent="0.3">
      <c r="I6169" s="12"/>
      <c r="N6169" s="12"/>
      <c r="S6169" s="12"/>
      <c r="X6169" s="12"/>
      <c r="AM6169" s="12"/>
    </row>
    <row r="6170" spans="9:39" x14ac:dyDescent="0.3">
      <c r="I6170" s="12"/>
      <c r="N6170" s="12"/>
      <c r="S6170" s="12"/>
      <c r="X6170" s="12"/>
      <c r="AM6170" s="12"/>
    </row>
    <row r="6171" spans="9:39" x14ac:dyDescent="0.3">
      <c r="I6171" s="12"/>
      <c r="N6171" s="12"/>
      <c r="S6171" s="12"/>
      <c r="X6171" s="12"/>
      <c r="AM6171" s="12"/>
    </row>
    <row r="6172" spans="9:39" x14ac:dyDescent="0.3">
      <c r="I6172" s="12"/>
      <c r="N6172" s="12"/>
      <c r="S6172" s="12"/>
      <c r="X6172" s="12"/>
      <c r="AM6172" s="12"/>
    </row>
    <row r="6173" spans="9:39" x14ac:dyDescent="0.3">
      <c r="I6173" s="12"/>
      <c r="N6173" s="12"/>
      <c r="S6173" s="12"/>
      <c r="X6173" s="12"/>
      <c r="AM6173" s="12"/>
    </row>
    <row r="6174" spans="9:39" x14ac:dyDescent="0.3">
      <c r="I6174" s="12"/>
      <c r="N6174" s="12"/>
      <c r="S6174" s="12"/>
      <c r="X6174" s="12"/>
      <c r="AM6174" s="12"/>
    </row>
    <row r="6175" spans="9:39" x14ac:dyDescent="0.3">
      <c r="I6175" s="12"/>
      <c r="N6175" s="12"/>
      <c r="S6175" s="12"/>
      <c r="X6175" s="12"/>
      <c r="AM6175" s="12"/>
    </row>
    <row r="6176" spans="9:39" x14ac:dyDescent="0.3">
      <c r="I6176" s="12"/>
      <c r="N6176" s="12"/>
      <c r="S6176" s="12"/>
      <c r="X6176" s="12"/>
      <c r="AM6176" s="12"/>
    </row>
    <row r="6177" spans="9:39" x14ac:dyDescent="0.3">
      <c r="I6177" s="12"/>
      <c r="N6177" s="12"/>
      <c r="S6177" s="12"/>
      <c r="X6177" s="12"/>
      <c r="AM6177" s="12"/>
    </row>
    <row r="6178" spans="9:39" x14ac:dyDescent="0.3">
      <c r="I6178" s="12"/>
      <c r="N6178" s="12"/>
      <c r="S6178" s="12"/>
      <c r="X6178" s="12"/>
      <c r="AM6178" s="12"/>
    </row>
    <row r="6179" spans="9:39" x14ac:dyDescent="0.3">
      <c r="I6179" s="12"/>
      <c r="N6179" s="12"/>
      <c r="S6179" s="12"/>
      <c r="X6179" s="12"/>
      <c r="AM6179" s="12"/>
    </row>
    <row r="6180" spans="9:39" x14ac:dyDescent="0.3">
      <c r="I6180" s="12"/>
      <c r="N6180" s="12"/>
      <c r="S6180" s="12"/>
      <c r="X6180" s="12"/>
      <c r="AM6180" s="12"/>
    </row>
    <row r="6181" spans="9:39" x14ac:dyDescent="0.3">
      <c r="I6181" s="12"/>
      <c r="N6181" s="12"/>
      <c r="S6181" s="12"/>
      <c r="X6181" s="12"/>
      <c r="AM6181" s="12"/>
    </row>
    <row r="6182" spans="9:39" x14ac:dyDescent="0.3">
      <c r="I6182" s="12"/>
      <c r="N6182" s="12"/>
      <c r="S6182" s="12"/>
      <c r="X6182" s="12"/>
      <c r="AM6182" s="12"/>
    </row>
    <row r="6183" spans="9:39" x14ac:dyDescent="0.3">
      <c r="I6183" s="12"/>
      <c r="N6183" s="12"/>
      <c r="S6183" s="12"/>
      <c r="X6183" s="12"/>
      <c r="AM6183" s="12"/>
    </row>
    <row r="6184" spans="9:39" x14ac:dyDescent="0.3">
      <c r="I6184" s="12"/>
      <c r="N6184" s="12"/>
      <c r="S6184" s="12"/>
      <c r="X6184" s="12"/>
      <c r="AM6184" s="12"/>
    </row>
    <row r="6185" spans="9:39" x14ac:dyDescent="0.3">
      <c r="I6185" s="12"/>
      <c r="N6185" s="12"/>
      <c r="S6185" s="12"/>
      <c r="X6185" s="12"/>
      <c r="AM6185" s="12"/>
    </row>
    <row r="6186" spans="9:39" x14ac:dyDescent="0.3">
      <c r="I6186" s="12"/>
      <c r="N6186" s="12"/>
      <c r="S6186" s="12"/>
      <c r="X6186" s="12"/>
      <c r="AM6186" s="12"/>
    </row>
    <row r="6187" spans="9:39" x14ac:dyDescent="0.3">
      <c r="I6187" s="12"/>
      <c r="N6187" s="12"/>
      <c r="S6187" s="12"/>
      <c r="X6187" s="12"/>
      <c r="AM6187" s="12"/>
    </row>
    <row r="6188" spans="9:39" x14ac:dyDescent="0.3">
      <c r="I6188" s="12"/>
      <c r="N6188" s="12"/>
      <c r="S6188" s="12"/>
      <c r="X6188" s="12"/>
      <c r="AM6188" s="12"/>
    </row>
    <row r="6189" spans="9:39" x14ac:dyDescent="0.3">
      <c r="I6189" s="12"/>
      <c r="N6189" s="12"/>
      <c r="S6189" s="12"/>
      <c r="X6189" s="12"/>
      <c r="AM6189" s="12"/>
    </row>
    <row r="6190" spans="9:39" x14ac:dyDescent="0.3">
      <c r="I6190" s="12"/>
      <c r="N6190" s="12"/>
      <c r="S6190" s="12"/>
      <c r="X6190" s="12"/>
      <c r="AM6190" s="12"/>
    </row>
    <row r="6191" spans="9:39" x14ac:dyDescent="0.3">
      <c r="I6191" s="12"/>
      <c r="N6191" s="12"/>
      <c r="S6191" s="12"/>
      <c r="X6191" s="12"/>
      <c r="AM6191" s="12"/>
    </row>
    <row r="6192" spans="9:39" x14ac:dyDescent="0.3">
      <c r="I6192" s="12"/>
      <c r="N6192" s="12"/>
      <c r="S6192" s="12"/>
      <c r="X6192" s="12"/>
      <c r="AM6192" s="12"/>
    </row>
    <row r="6193" spans="9:39" x14ac:dyDescent="0.3">
      <c r="I6193" s="12"/>
      <c r="N6193" s="12"/>
      <c r="S6193" s="12"/>
      <c r="X6193" s="12"/>
      <c r="AM6193" s="12"/>
    </row>
    <row r="6194" spans="9:39" x14ac:dyDescent="0.3">
      <c r="I6194" s="12"/>
      <c r="N6194" s="12"/>
      <c r="S6194" s="12"/>
      <c r="X6194" s="12"/>
      <c r="AM6194" s="12"/>
    </row>
    <row r="6195" spans="9:39" x14ac:dyDescent="0.3">
      <c r="I6195" s="12"/>
      <c r="N6195" s="12"/>
      <c r="S6195" s="12"/>
      <c r="X6195" s="12"/>
      <c r="AM6195" s="12"/>
    </row>
    <row r="6196" spans="9:39" x14ac:dyDescent="0.3">
      <c r="I6196" s="12"/>
      <c r="N6196" s="12"/>
      <c r="S6196" s="12"/>
      <c r="X6196" s="12"/>
      <c r="AM6196" s="12"/>
    </row>
    <row r="6197" spans="9:39" x14ac:dyDescent="0.3">
      <c r="I6197" s="12"/>
      <c r="N6197" s="12"/>
      <c r="S6197" s="12"/>
      <c r="X6197" s="12"/>
      <c r="AM6197" s="12"/>
    </row>
    <row r="6198" spans="9:39" x14ac:dyDescent="0.3">
      <c r="I6198" s="12"/>
      <c r="N6198" s="12"/>
      <c r="S6198" s="12"/>
      <c r="X6198" s="12"/>
      <c r="AM6198" s="12"/>
    </row>
    <row r="6199" spans="9:39" x14ac:dyDescent="0.3">
      <c r="I6199" s="12"/>
      <c r="N6199" s="12"/>
      <c r="S6199" s="12"/>
      <c r="X6199" s="12"/>
      <c r="AM6199" s="12"/>
    </row>
    <row r="6200" spans="9:39" x14ac:dyDescent="0.3">
      <c r="I6200" s="12"/>
      <c r="N6200" s="12"/>
      <c r="S6200" s="12"/>
      <c r="X6200" s="12"/>
      <c r="AM6200" s="12"/>
    </row>
    <row r="6201" spans="9:39" x14ac:dyDescent="0.3">
      <c r="I6201" s="12"/>
      <c r="N6201" s="12"/>
      <c r="S6201" s="12"/>
      <c r="X6201" s="12"/>
      <c r="AM6201" s="12"/>
    </row>
    <row r="6202" spans="9:39" x14ac:dyDescent="0.3">
      <c r="I6202" s="12"/>
      <c r="N6202" s="12"/>
      <c r="S6202" s="12"/>
      <c r="X6202" s="12"/>
      <c r="AM6202" s="12"/>
    </row>
    <row r="6203" spans="9:39" x14ac:dyDescent="0.3">
      <c r="I6203" s="12"/>
      <c r="N6203" s="12"/>
      <c r="S6203" s="12"/>
      <c r="X6203" s="12"/>
      <c r="AM6203" s="12"/>
    </row>
    <row r="6204" spans="9:39" x14ac:dyDescent="0.3">
      <c r="I6204" s="12"/>
      <c r="N6204" s="12"/>
      <c r="S6204" s="12"/>
      <c r="X6204" s="12"/>
      <c r="AM6204" s="12"/>
    </row>
    <row r="6205" spans="9:39" x14ac:dyDescent="0.3">
      <c r="I6205" s="12"/>
      <c r="N6205" s="12"/>
      <c r="S6205" s="12"/>
      <c r="X6205" s="12"/>
      <c r="AM6205" s="12"/>
    </row>
    <row r="6206" spans="9:39" x14ac:dyDescent="0.3">
      <c r="I6206" s="12"/>
      <c r="N6206" s="12"/>
      <c r="S6206" s="12"/>
      <c r="X6206" s="12"/>
      <c r="AM6206" s="12"/>
    </row>
    <row r="6207" spans="9:39" x14ac:dyDescent="0.3">
      <c r="I6207" s="12"/>
      <c r="N6207" s="12"/>
      <c r="S6207" s="12"/>
      <c r="X6207" s="12"/>
      <c r="AM6207" s="12"/>
    </row>
    <row r="6208" spans="9:39" x14ac:dyDescent="0.3">
      <c r="I6208" s="12"/>
      <c r="N6208" s="12"/>
      <c r="S6208" s="12"/>
      <c r="X6208" s="12"/>
      <c r="AM6208" s="12"/>
    </row>
    <row r="6209" spans="9:39" x14ac:dyDescent="0.3">
      <c r="I6209" s="12"/>
      <c r="N6209" s="12"/>
      <c r="S6209" s="12"/>
      <c r="X6209" s="12"/>
      <c r="AM6209" s="12"/>
    </row>
    <row r="6210" spans="9:39" x14ac:dyDescent="0.3">
      <c r="I6210" s="12"/>
      <c r="N6210" s="12"/>
      <c r="S6210" s="12"/>
      <c r="X6210" s="12"/>
      <c r="AM6210" s="12"/>
    </row>
    <row r="6211" spans="9:39" x14ac:dyDescent="0.3">
      <c r="I6211" s="12"/>
      <c r="N6211" s="12"/>
      <c r="S6211" s="12"/>
      <c r="X6211" s="12"/>
      <c r="AM6211" s="12"/>
    </row>
    <row r="6212" spans="9:39" x14ac:dyDescent="0.3">
      <c r="I6212" s="12"/>
      <c r="N6212" s="12"/>
      <c r="S6212" s="12"/>
      <c r="X6212" s="12"/>
      <c r="AM6212" s="12"/>
    </row>
    <row r="6213" spans="9:39" x14ac:dyDescent="0.3">
      <c r="I6213" s="12"/>
      <c r="N6213" s="12"/>
      <c r="S6213" s="12"/>
      <c r="X6213" s="12"/>
      <c r="AM6213" s="12"/>
    </row>
    <row r="6214" spans="9:39" x14ac:dyDescent="0.3">
      <c r="I6214" s="12"/>
      <c r="N6214" s="12"/>
      <c r="S6214" s="12"/>
      <c r="X6214" s="12"/>
      <c r="AM6214" s="12"/>
    </row>
    <row r="6215" spans="9:39" x14ac:dyDescent="0.3">
      <c r="I6215" s="12"/>
      <c r="N6215" s="12"/>
      <c r="S6215" s="12"/>
      <c r="X6215" s="12"/>
      <c r="AM6215" s="12"/>
    </row>
    <row r="6216" spans="9:39" x14ac:dyDescent="0.3">
      <c r="I6216" s="12"/>
      <c r="N6216" s="12"/>
      <c r="S6216" s="12"/>
      <c r="X6216" s="12"/>
      <c r="AM6216" s="12"/>
    </row>
    <row r="6217" spans="9:39" x14ac:dyDescent="0.3">
      <c r="I6217" s="12"/>
      <c r="N6217" s="12"/>
      <c r="S6217" s="12"/>
      <c r="X6217" s="12"/>
      <c r="AM6217" s="12"/>
    </row>
    <row r="6218" spans="9:39" x14ac:dyDescent="0.3">
      <c r="I6218" s="12"/>
      <c r="N6218" s="12"/>
      <c r="S6218" s="12"/>
      <c r="X6218" s="12"/>
      <c r="AM6218" s="12"/>
    </row>
    <row r="6219" spans="9:39" x14ac:dyDescent="0.3">
      <c r="I6219" s="12"/>
      <c r="N6219" s="12"/>
      <c r="S6219" s="12"/>
      <c r="X6219" s="12"/>
      <c r="AM6219" s="12"/>
    </row>
    <row r="6220" spans="9:39" x14ac:dyDescent="0.3">
      <c r="I6220" s="12"/>
      <c r="N6220" s="12"/>
      <c r="S6220" s="12"/>
      <c r="X6220" s="12"/>
      <c r="AM6220" s="12"/>
    </row>
    <row r="6221" spans="9:39" x14ac:dyDescent="0.3">
      <c r="I6221" s="12"/>
      <c r="N6221" s="12"/>
      <c r="S6221" s="12"/>
      <c r="X6221" s="12"/>
      <c r="AM6221" s="12"/>
    </row>
    <row r="6222" spans="9:39" x14ac:dyDescent="0.3">
      <c r="I6222" s="12"/>
      <c r="N6222" s="12"/>
      <c r="S6222" s="12"/>
      <c r="X6222" s="12"/>
      <c r="AM6222" s="12"/>
    </row>
    <row r="6223" spans="9:39" x14ac:dyDescent="0.3">
      <c r="I6223" s="12"/>
      <c r="N6223" s="12"/>
      <c r="S6223" s="12"/>
      <c r="X6223" s="12"/>
      <c r="AM6223" s="12"/>
    </row>
    <row r="6224" spans="9:39" x14ac:dyDescent="0.3">
      <c r="I6224" s="12"/>
      <c r="N6224" s="12"/>
      <c r="S6224" s="12"/>
      <c r="X6224" s="12"/>
      <c r="AM6224" s="12"/>
    </row>
    <row r="6225" spans="9:39" x14ac:dyDescent="0.3">
      <c r="I6225" s="12"/>
      <c r="N6225" s="12"/>
      <c r="S6225" s="12"/>
      <c r="X6225" s="12"/>
      <c r="AM6225" s="12"/>
    </row>
    <row r="6226" spans="9:39" x14ac:dyDescent="0.3">
      <c r="I6226" s="12"/>
      <c r="N6226" s="12"/>
      <c r="S6226" s="12"/>
      <c r="X6226" s="12"/>
      <c r="AM6226" s="12"/>
    </row>
    <row r="6227" spans="9:39" x14ac:dyDescent="0.3">
      <c r="I6227" s="12"/>
      <c r="N6227" s="12"/>
      <c r="S6227" s="12"/>
      <c r="X6227" s="12"/>
      <c r="AM6227" s="12"/>
    </row>
    <row r="6228" spans="9:39" x14ac:dyDescent="0.3">
      <c r="I6228" s="12"/>
      <c r="N6228" s="12"/>
      <c r="S6228" s="12"/>
      <c r="X6228" s="12"/>
      <c r="AM6228" s="12"/>
    </row>
    <row r="6229" spans="9:39" x14ac:dyDescent="0.3">
      <c r="I6229" s="12"/>
      <c r="N6229" s="12"/>
      <c r="S6229" s="12"/>
      <c r="X6229" s="12"/>
      <c r="AM6229" s="12"/>
    </row>
    <row r="6230" spans="9:39" x14ac:dyDescent="0.3">
      <c r="I6230" s="12"/>
      <c r="N6230" s="12"/>
      <c r="S6230" s="12"/>
      <c r="X6230" s="12"/>
      <c r="AM6230" s="12"/>
    </row>
    <row r="6231" spans="9:39" x14ac:dyDescent="0.3">
      <c r="I6231" s="12"/>
      <c r="N6231" s="12"/>
      <c r="S6231" s="12"/>
      <c r="X6231" s="12"/>
      <c r="AM6231" s="12"/>
    </row>
    <row r="6232" spans="9:39" x14ac:dyDescent="0.3">
      <c r="I6232" s="12"/>
      <c r="N6232" s="12"/>
      <c r="S6232" s="12"/>
      <c r="X6232" s="12"/>
      <c r="AM6232" s="12"/>
    </row>
    <row r="6233" spans="9:39" x14ac:dyDescent="0.3">
      <c r="I6233" s="12"/>
      <c r="N6233" s="12"/>
      <c r="S6233" s="12"/>
      <c r="X6233" s="12"/>
      <c r="AM6233" s="12"/>
    </row>
    <row r="6234" spans="9:39" x14ac:dyDescent="0.3">
      <c r="I6234" s="12"/>
      <c r="N6234" s="12"/>
      <c r="S6234" s="12"/>
      <c r="X6234" s="12"/>
      <c r="AM6234" s="12"/>
    </row>
    <row r="6235" spans="9:39" x14ac:dyDescent="0.3">
      <c r="I6235" s="12"/>
      <c r="N6235" s="12"/>
      <c r="S6235" s="12"/>
      <c r="X6235" s="12"/>
      <c r="AM6235" s="12"/>
    </row>
    <row r="6236" spans="9:39" x14ac:dyDescent="0.3">
      <c r="I6236" s="12"/>
      <c r="N6236" s="12"/>
      <c r="S6236" s="12"/>
      <c r="X6236" s="12"/>
      <c r="AM6236" s="12"/>
    </row>
    <row r="6237" spans="9:39" x14ac:dyDescent="0.3">
      <c r="I6237" s="12"/>
      <c r="N6237" s="12"/>
      <c r="S6237" s="12"/>
      <c r="X6237" s="12"/>
      <c r="AM6237" s="12"/>
    </row>
    <row r="6238" spans="9:39" x14ac:dyDescent="0.3">
      <c r="I6238" s="12"/>
      <c r="N6238" s="12"/>
      <c r="S6238" s="12"/>
      <c r="X6238" s="12"/>
      <c r="AM6238" s="12"/>
    </row>
    <row r="6239" spans="9:39" x14ac:dyDescent="0.3">
      <c r="I6239" s="12"/>
      <c r="N6239" s="12"/>
      <c r="S6239" s="12"/>
      <c r="X6239" s="12"/>
      <c r="AM6239" s="12"/>
    </row>
    <row r="6240" spans="9:39" x14ac:dyDescent="0.3">
      <c r="I6240" s="12"/>
      <c r="N6240" s="12"/>
      <c r="S6240" s="12"/>
      <c r="X6240" s="12"/>
      <c r="AM6240" s="12"/>
    </row>
    <row r="6241" spans="9:39" x14ac:dyDescent="0.3">
      <c r="I6241" s="12"/>
      <c r="N6241" s="12"/>
      <c r="S6241" s="12"/>
      <c r="X6241" s="12"/>
      <c r="AM6241" s="12"/>
    </row>
    <row r="6242" spans="9:39" x14ac:dyDescent="0.3">
      <c r="I6242" s="12"/>
      <c r="N6242" s="12"/>
      <c r="S6242" s="12"/>
      <c r="X6242" s="12"/>
      <c r="AM6242" s="12"/>
    </row>
    <row r="6243" spans="9:39" x14ac:dyDescent="0.3">
      <c r="I6243" s="12"/>
      <c r="N6243" s="12"/>
      <c r="S6243" s="12"/>
      <c r="X6243" s="12"/>
      <c r="AM6243" s="12"/>
    </row>
    <row r="6244" spans="9:39" x14ac:dyDescent="0.3">
      <c r="I6244" s="12"/>
      <c r="N6244" s="12"/>
      <c r="S6244" s="12"/>
      <c r="X6244" s="12"/>
      <c r="AM6244" s="12"/>
    </row>
    <row r="6245" spans="9:39" x14ac:dyDescent="0.3">
      <c r="I6245" s="12"/>
      <c r="N6245" s="12"/>
      <c r="S6245" s="12"/>
      <c r="X6245" s="12"/>
      <c r="AM6245" s="12"/>
    </row>
    <row r="6246" spans="9:39" x14ac:dyDescent="0.3">
      <c r="I6246" s="12"/>
      <c r="N6246" s="12"/>
      <c r="S6246" s="12"/>
      <c r="X6246" s="12"/>
      <c r="AM6246" s="12"/>
    </row>
    <row r="6247" spans="9:39" x14ac:dyDescent="0.3">
      <c r="I6247" s="12"/>
      <c r="N6247" s="12"/>
      <c r="S6247" s="12"/>
      <c r="X6247" s="12"/>
      <c r="AM6247" s="12"/>
    </row>
    <row r="6248" spans="9:39" x14ac:dyDescent="0.3">
      <c r="I6248" s="12"/>
      <c r="N6248" s="12"/>
      <c r="S6248" s="12"/>
      <c r="X6248" s="12"/>
      <c r="AM6248" s="12"/>
    </row>
    <row r="6249" spans="9:39" x14ac:dyDescent="0.3">
      <c r="I6249" s="12"/>
      <c r="N6249" s="12"/>
      <c r="S6249" s="12"/>
      <c r="X6249" s="12"/>
      <c r="AM6249" s="12"/>
    </row>
    <row r="6250" spans="9:39" x14ac:dyDescent="0.3">
      <c r="I6250" s="12"/>
      <c r="N6250" s="12"/>
      <c r="S6250" s="12"/>
      <c r="X6250" s="12"/>
      <c r="AM6250" s="12"/>
    </row>
    <row r="6251" spans="9:39" x14ac:dyDescent="0.3">
      <c r="I6251" s="12"/>
      <c r="N6251" s="12"/>
      <c r="S6251" s="12"/>
      <c r="X6251" s="12"/>
      <c r="AM6251" s="12"/>
    </row>
    <row r="6252" spans="9:39" x14ac:dyDescent="0.3">
      <c r="I6252" s="12"/>
      <c r="N6252" s="12"/>
      <c r="S6252" s="12"/>
      <c r="X6252" s="12"/>
      <c r="AM6252" s="12"/>
    </row>
    <row r="6253" spans="9:39" x14ac:dyDescent="0.3">
      <c r="I6253" s="12"/>
      <c r="N6253" s="12"/>
      <c r="S6253" s="12"/>
      <c r="X6253" s="12"/>
      <c r="AM6253" s="12"/>
    </row>
    <row r="6254" spans="9:39" x14ac:dyDescent="0.3">
      <c r="I6254" s="12"/>
      <c r="N6254" s="12"/>
      <c r="S6254" s="12"/>
      <c r="X6254" s="12"/>
      <c r="AM6254" s="12"/>
    </row>
    <row r="6255" spans="9:39" x14ac:dyDescent="0.3">
      <c r="I6255" s="12"/>
      <c r="N6255" s="12"/>
      <c r="S6255" s="12"/>
      <c r="X6255" s="12"/>
      <c r="AM6255" s="12"/>
    </row>
    <row r="6256" spans="9:39" x14ac:dyDescent="0.3">
      <c r="I6256" s="12"/>
      <c r="N6256" s="12"/>
      <c r="S6256" s="12"/>
      <c r="X6256" s="12"/>
      <c r="AM6256" s="12"/>
    </row>
    <row r="6257" spans="9:39" x14ac:dyDescent="0.3">
      <c r="I6257" s="12"/>
      <c r="N6257" s="12"/>
      <c r="S6257" s="12"/>
      <c r="X6257" s="12"/>
      <c r="AM6257" s="12"/>
    </row>
    <row r="6258" spans="9:39" x14ac:dyDescent="0.3">
      <c r="I6258" s="12"/>
      <c r="N6258" s="12"/>
      <c r="S6258" s="12"/>
      <c r="X6258" s="12"/>
      <c r="AM6258" s="12"/>
    </row>
    <row r="6259" spans="9:39" x14ac:dyDescent="0.3">
      <c r="I6259" s="12"/>
      <c r="N6259" s="12"/>
      <c r="S6259" s="12"/>
      <c r="X6259" s="12"/>
      <c r="AM6259" s="12"/>
    </row>
    <row r="6260" spans="9:39" x14ac:dyDescent="0.3">
      <c r="I6260" s="12"/>
      <c r="N6260" s="12"/>
      <c r="S6260" s="12"/>
      <c r="X6260" s="12"/>
      <c r="AM6260" s="12"/>
    </row>
    <row r="6261" spans="9:39" x14ac:dyDescent="0.3">
      <c r="I6261" s="12"/>
      <c r="N6261" s="12"/>
      <c r="S6261" s="12"/>
      <c r="X6261" s="12"/>
      <c r="AM6261" s="12"/>
    </row>
    <row r="6262" spans="9:39" x14ac:dyDescent="0.3">
      <c r="I6262" s="12"/>
      <c r="N6262" s="12"/>
      <c r="S6262" s="12"/>
      <c r="X6262" s="12"/>
      <c r="AM6262" s="12"/>
    </row>
    <row r="6263" spans="9:39" x14ac:dyDescent="0.3">
      <c r="I6263" s="12"/>
      <c r="N6263" s="12"/>
      <c r="S6263" s="12"/>
      <c r="X6263" s="12"/>
      <c r="AM6263" s="12"/>
    </row>
    <row r="6264" spans="9:39" x14ac:dyDescent="0.3">
      <c r="I6264" s="12"/>
      <c r="N6264" s="12"/>
      <c r="S6264" s="12"/>
      <c r="X6264" s="12"/>
      <c r="AM6264" s="12"/>
    </row>
    <row r="6265" spans="9:39" x14ac:dyDescent="0.3">
      <c r="I6265" s="12"/>
      <c r="N6265" s="12"/>
      <c r="S6265" s="12"/>
      <c r="X6265" s="12"/>
      <c r="AM6265" s="12"/>
    </row>
    <row r="6266" spans="9:39" x14ac:dyDescent="0.3">
      <c r="I6266" s="12"/>
      <c r="N6266" s="12"/>
      <c r="S6266" s="12"/>
      <c r="X6266" s="12"/>
      <c r="AM6266" s="12"/>
    </row>
    <row r="6267" spans="9:39" x14ac:dyDescent="0.3">
      <c r="I6267" s="12"/>
      <c r="N6267" s="12"/>
      <c r="S6267" s="12"/>
      <c r="X6267" s="12"/>
      <c r="AM6267" s="12"/>
    </row>
    <row r="6268" spans="9:39" x14ac:dyDescent="0.3">
      <c r="I6268" s="12"/>
      <c r="N6268" s="12"/>
      <c r="S6268" s="12"/>
      <c r="X6268" s="12"/>
      <c r="AM6268" s="12"/>
    </row>
    <row r="6269" spans="9:39" x14ac:dyDescent="0.3">
      <c r="I6269" s="12"/>
      <c r="N6269" s="12"/>
      <c r="S6269" s="12"/>
      <c r="X6269" s="12"/>
      <c r="AM6269" s="12"/>
    </row>
    <row r="6270" spans="9:39" x14ac:dyDescent="0.3">
      <c r="I6270" s="12"/>
      <c r="N6270" s="12"/>
      <c r="S6270" s="12"/>
      <c r="X6270" s="12"/>
      <c r="AM6270" s="12"/>
    </row>
    <row r="6271" spans="9:39" x14ac:dyDescent="0.3">
      <c r="I6271" s="12"/>
      <c r="N6271" s="12"/>
      <c r="S6271" s="12"/>
      <c r="X6271" s="12"/>
      <c r="AM6271" s="12"/>
    </row>
    <row r="6272" spans="9:39" x14ac:dyDescent="0.3">
      <c r="I6272" s="12"/>
      <c r="N6272" s="12"/>
      <c r="S6272" s="12"/>
      <c r="X6272" s="12"/>
      <c r="AM6272" s="12"/>
    </row>
    <row r="6273" spans="9:39" x14ac:dyDescent="0.3">
      <c r="I6273" s="12"/>
      <c r="N6273" s="12"/>
      <c r="S6273" s="12"/>
      <c r="X6273" s="12"/>
      <c r="AM6273" s="12"/>
    </row>
    <row r="6274" spans="9:39" x14ac:dyDescent="0.3">
      <c r="I6274" s="12"/>
      <c r="N6274" s="12"/>
      <c r="S6274" s="12"/>
      <c r="X6274" s="12"/>
      <c r="AM6274" s="12"/>
    </row>
    <row r="6275" spans="9:39" x14ac:dyDescent="0.3">
      <c r="I6275" s="12"/>
      <c r="N6275" s="12"/>
      <c r="S6275" s="12"/>
      <c r="X6275" s="12"/>
      <c r="AM6275" s="12"/>
    </row>
    <row r="6276" spans="9:39" x14ac:dyDescent="0.3">
      <c r="I6276" s="12"/>
      <c r="N6276" s="12"/>
      <c r="S6276" s="12"/>
      <c r="X6276" s="12"/>
      <c r="AM6276" s="12"/>
    </row>
    <row r="6277" spans="9:39" x14ac:dyDescent="0.3">
      <c r="I6277" s="12"/>
      <c r="N6277" s="12"/>
      <c r="S6277" s="12"/>
      <c r="X6277" s="12"/>
      <c r="AM6277" s="12"/>
    </row>
    <row r="6278" spans="9:39" x14ac:dyDescent="0.3">
      <c r="I6278" s="12"/>
      <c r="N6278" s="12"/>
      <c r="S6278" s="12"/>
      <c r="X6278" s="12"/>
      <c r="AM6278" s="12"/>
    </row>
    <row r="6279" spans="9:39" x14ac:dyDescent="0.3">
      <c r="I6279" s="12"/>
      <c r="N6279" s="12"/>
      <c r="S6279" s="12"/>
      <c r="X6279" s="12"/>
      <c r="AM6279" s="12"/>
    </row>
    <row r="6280" spans="9:39" x14ac:dyDescent="0.3">
      <c r="I6280" s="12"/>
      <c r="N6280" s="12"/>
      <c r="S6280" s="12"/>
      <c r="X6280" s="12"/>
      <c r="AM6280" s="12"/>
    </row>
    <row r="6281" spans="9:39" x14ac:dyDescent="0.3">
      <c r="I6281" s="12"/>
      <c r="N6281" s="12"/>
      <c r="S6281" s="12"/>
      <c r="X6281" s="12"/>
      <c r="AM6281" s="12"/>
    </row>
    <row r="6282" spans="9:39" x14ac:dyDescent="0.3">
      <c r="I6282" s="12"/>
      <c r="N6282" s="12"/>
      <c r="S6282" s="12"/>
      <c r="X6282" s="12"/>
      <c r="AM6282" s="12"/>
    </row>
    <row r="6283" spans="9:39" x14ac:dyDescent="0.3">
      <c r="I6283" s="12"/>
      <c r="N6283" s="12"/>
      <c r="S6283" s="12"/>
      <c r="X6283" s="12"/>
      <c r="AM6283" s="12"/>
    </row>
    <row r="6284" spans="9:39" x14ac:dyDescent="0.3">
      <c r="I6284" s="12"/>
      <c r="N6284" s="12"/>
      <c r="S6284" s="12"/>
      <c r="X6284" s="12"/>
      <c r="AM6284" s="12"/>
    </row>
    <row r="6285" spans="9:39" x14ac:dyDescent="0.3">
      <c r="I6285" s="12"/>
      <c r="N6285" s="12"/>
      <c r="S6285" s="12"/>
      <c r="X6285" s="12"/>
      <c r="AM6285" s="12"/>
    </row>
    <row r="6286" spans="9:39" x14ac:dyDescent="0.3">
      <c r="I6286" s="12"/>
      <c r="N6286" s="12"/>
      <c r="S6286" s="12"/>
      <c r="X6286" s="12"/>
      <c r="AM6286" s="12"/>
    </row>
    <row r="6287" spans="9:39" x14ac:dyDescent="0.3">
      <c r="I6287" s="12"/>
      <c r="N6287" s="12"/>
      <c r="S6287" s="12"/>
      <c r="X6287" s="12"/>
      <c r="AM6287" s="12"/>
    </row>
    <row r="6288" spans="9:39" x14ac:dyDescent="0.3">
      <c r="I6288" s="12"/>
      <c r="N6288" s="12"/>
      <c r="S6288" s="12"/>
      <c r="X6288" s="12"/>
      <c r="AM6288" s="12"/>
    </row>
    <row r="6289" spans="9:39" x14ac:dyDescent="0.3">
      <c r="I6289" s="12"/>
      <c r="N6289" s="12"/>
      <c r="S6289" s="12"/>
      <c r="X6289" s="12"/>
      <c r="AM6289" s="12"/>
    </row>
    <row r="6290" spans="9:39" x14ac:dyDescent="0.3">
      <c r="I6290" s="12"/>
      <c r="N6290" s="12"/>
      <c r="S6290" s="12"/>
      <c r="X6290" s="12"/>
      <c r="AM6290" s="12"/>
    </row>
    <row r="6291" spans="9:39" x14ac:dyDescent="0.3">
      <c r="I6291" s="12"/>
      <c r="N6291" s="12"/>
      <c r="S6291" s="12"/>
      <c r="X6291" s="12"/>
      <c r="AM6291" s="12"/>
    </row>
    <row r="6292" spans="9:39" x14ac:dyDescent="0.3">
      <c r="I6292" s="12"/>
      <c r="N6292" s="12"/>
      <c r="S6292" s="12"/>
      <c r="X6292" s="12"/>
      <c r="AM6292" s="12"/>
    </row>
    <row r="6293" spans="9:39" x14ac:dyDescent="0.3">
      <c r="I6293" s="12"/>
      <c r="N6293" s="12"/>
      <c r="S6293" s="12"/>
      <c r="X6293" s="12"/>
      <c r="AM6293" s="12"/>
    </row>
    <row r="6294" spans="9:39" x14ac:dyDescent="0.3">
      <c r="I6294" s="12"/>
      <c r="N6294" s="12"/>
      <c r="S6294" s="12"/>
      <c r="X6294" s="12"/>
      <c r="AM6294" s="12"/>
    </row>
    <row r="6295" spans="9:39" x14ac:dyDescent="0.3">
      <c r="I6295" s="12"/>
      <c r="N6295" s="12"/>
      <c r="S6295" s="12"/>
      <c r="X6295" s="12"/>
      <c r="AM6295" s="12"/>
    </row>
    <row r="6296" spans="9:39" x14ac:dyDescent="0.3">
      <c r="I6296" s="12"/>
      <c r="N6296" s="12"/>
      <c r="S6296" s="12"/>
      <c r="X6296" s="12"/>
      <c r="AM6296" s="12"/>
    </row>
    <row r="6297" spans="9:39" x14ac:dyDescent="0.3">
      <c r="I6297" s="12"/>
      <c r="N6297" s="12"/>
      <c r="S6297" s="12"/>
      <c r="X6297" s="12"/>
      <c r="AM6297" s="12"/>
    </row>
    <row r="6298" spans="9:39" x14ac:dyDescent="0.3">
      <c r="I6298" s="12"/>
      <c r="N6298" s="12"/>
      <c r="S6298" s="12"/>
      <c r="X6298" s="12"/>
      <c r="AM6298" s="12"/>
    </row>
    <row r="6299" spans="9:39" x14ac:dyDescent="0.3">
      <c r="I6299" s="12"/>
      <c r="N6299" s="12"/>
      <c r="S6299" s="12"/>
      <c r="X6299" s="12"/>
      <c r="AM6299" s="12"/>
    </row>
    <row r="6300" spans="9:39" x14ac:dyDescent="0.3">
      <c r="I6300" s="12"/>
      <c r="N6300" s="12"/>
      <c r="S6300" s="12"/>
      <c r="X6300" s="12"/>
      <c r="AM6300" s="12"/>
    </row>
    <row r="6301" spans="9:39" x14ac:dyDescent="0.3">
      <c r="I6301" s="12"/>
      <c r="N6301" s="12"/>
      <c r="S6301" s="12"/>
      <c r="X6301" s="12"/>
      <c r="AM6301" s="12"/>
    </row>
    <row r="6302" spans="9:39" x14ac:dyDescent="0.3">
      <c r="I6302" s="12"/>
      <c r="N6302" s="12"/>
      <c r="S6302" s="12"/>
      <c r="X6302" s="12"/>
      <c r="AM6302" s="12"/>
    </row>
    <row r="6303" spans="9:39" x14ac:dyDescent="0.3">
      <c r="I6303" s="12"/>
      <c r="N6303" s="12"/>
      <c r="S6303" s="12"/>
      <c r="X6303" s="12"/>
      <c r="AM6303" s="12"/>
    </row>
    <row r="6304" spans="9:39" x14ac:dyDescent="0.3">
      <c r="I6304" s="12"/>
      <c r="N6304" s="12"/>
      <c r="S6304" s="12"/>
      <c r="X6304" s="12"/>
      <c r="AM6304" s="12"/>
    </row>
    <row r="6305" spans="9:39" x14ac:dyDescent="0.3">
      <c r="I6305" s="12"/>
      <c r="N6305" s="12"/>
      <c r="S6305" s="12"/>
      <c r="X6305" s="12"/>
      <c r="AM6305" s="12"/>
    </row>
    <row r="6306" spans="9:39" x14ac:dyDescent="0.3">
      <c r="I6306" s="12"/>
      <c r="N6306" s="12"/>
      <c r="S6306" s="12"/>
      <c r="X6306" s="12"/>
      <c r="AM6306" s="12"/>
    </row>
    <row r="6307" spans="9:39" x14ac:dyDescent="0.3">
      <c r="I6307" s="12"/>
      <c r="N6307" s="12"/>
      <c r="S6307" s="12"/>
      <c r="X6307" s="12"/>
      <c r="AM6307" s="12"/>
    </row>
    <row r="6308" spans="9:39" x14ac:dyDescent="0.3">
      <c r="I6308" s="12"/>
      <c r="N6308" s="12"/>
      <c r="S6308" s="12"/>
      <c r="X6308" s="12"/>
      <c r="AM6308" s="12"/>
    </row>
    <row r="6309" spans="9:39" x14ac:dyDescent="0.3">
      <c r="I6309" s="12"/>
      <c r="N6309" s="12"/>
      <c r="S6309" s="12"/>
      <c r="X6309" s="12"/>
      <c r="AM6309" s="12"/>
    </row>
    <row r="6310" spans="9:39" x14ac:dyDescent="0.3">
      <c r="I6310" s="12"/>
      <c r="N6310" s="12"/>
      <c r="S6310" s="12"/>
      <c r="X6310" s="12"/>
      <c r="AM6310" s="12"/>
    </row>
    <row r="6311" spans="9:39" x14ac:dyDescent="0.3">
      <c r="I6311" s="12"/>
      <c r="N6311" s="12"/>
      <c r="S6311" s="12"/>
      <c r="X6311" s="12"/>
      <c r="AM6311" s="12"/>
    </row>
    <row r="6312" spans="9:39" x14ac:dyDescent="0.3">
      <c r="I6312" s="12"/>
      <c r="N6312" s="12"/>
      <c r="S6312" s="12"/>
      <c r="X6312" s="12"/>
      <c r="AM6312" s="12"/>
    </row>
    <row r="6313" spans="9:39" x14ac:dyDescent="0.3">
      <c r="I6313" s="12"/>
      <c r="N6313" s="12"/>
      <c r="S6313" s="12"/>
      <c r="X6313" s="12"/>
      <c r="AM6313" s="12"/>
    </row>
    <row r="6314" spans="9:39" x14ac:dyDescent="0.3">
      <c r="I6314" s="12"/>
      <c r="N6314" s="12"/>
      <c r="S6314" s="12"/>
      <c r="X6314" s="12"/>
      <c r="AM6314" s="12"/>
    </row>
    <row r="6315" spans="9:39" x14ac:dyDescent="0.3">
      <c r="I6315" s="12"/>
      <c r="N6315" s="12"/>
      <c r="S6315" s="12"/>
      <c r="X6315" s="12"/>
      <c r="AM6315" s="12"/>
    </row>
    <row r="6316" spans="9:39" x14ac:dyDescent="0.3">
      <c r="I6316" s="12"/>
      <c r="N6316" s="12"/>
      <c r="S6316" s="12"/>
      <c r="X6316" s="12"/>
      <c r="AM6316" s="12"/>
    </row>
    <row r="6317" spans="9:39" x14ac:dyDescent="0.3">
      <c r="I6317" s="12"/>
      <c r="N6317" s="12"/>
      <c r="S6317" s="12"/>
      <c r="X6317" s="12"/>
      <c r="AM6317" s="12"/>
    </row>
    <row r="6318" spans="9:39" x14ac:dyDescent="0.3">
      <c r="I6318" s="12"/>
      <c r="N6318" s="12"/>
      <c r="S6318" s="12"/>
      <c r="X6318" s="12"/>
      <c r="AM6318" s="12"/>
    </row>
    <row r="6319" spans="9:39" x14ac:dyDescent="0.3">
      <c r="I6319" s="12"/>
      <c r="N6319" s="12"/>
      <c r="S6319" s="12"/>
      <c r="X6319" s="12"/>
      <c r="AM6319" s="12"/>
    </row>
    <row r="6320" spans="9:39" x14ac:dyDescent="0.3">
      <c r="I6320" s="12"/>
      <c r="N6320" s="12"/>
      <c r="S6320" s="12"/>
      <c r="X6320" s="12"/>
      <c r="AM6320" s="12"/>
    </row>
    <row r="6321" spans="9:39" x14ac:dyDescent="0.3">
      <c r="I6321" s="12"/>
      <c r="N6321" s="12"/>
      <c r="S6321" s="12"/>
      <c r="X6321" s="12"/>
      <c r="AM6321" s="12"/>
    </row>
    <row r="6322" spans="9:39" x14ac:dyDescent="0.3">
      <c r="I6322" s="12"/>
      <c r="N6322" s="12"/>
      <c r="S6322" s="12"/>
      <c r="X6322" s="12"/>
      <c r="AM6322" s="12"/>
    </row>
    <row r="6323" spans="9:39" x14ac:dyDescent="0.3">
      <c r="I6323" s="12"/>
      <c r="N6323" s="12"/>
      <c r="S6323" s="12"/>
      <c r="X6323" s="12"/>
      <c r="AM6323" s="12"/>
    </row>
    <row r="6324" spans="9:39" x14ac:dyDescent="0.3">
      <c r="I6324" s="12"/>
      <c r="N6324" s="12"/>
      <c r="S6324" s="12"/>
      <c r="X6324" s="12"/>
      <c r="AM6324" s="12"/>
    </row>
    <row r="6325" spans="9:39" x14ac:dyDescent="0.3">
      <c r="I6325" s="12"/>
      <c r="N6325" s="12"/>
      <c r="S6325" s="12"/>
      <c r="X6325" s="12"/>
      <c r="AM6325" s="12"/>
    </row>
    <row r="6326" spans="9:39" x14ac:dyDescent="0.3">
      <c r="I6326" s="12"/>
      <c r="N6326" s="12"/>
      <c r="S6326" s="12"/>
      <c r="X6326" s="12"/>
      <c r="AM6326" s="12"/>
    </row>
    <row r="6327" spans="9:39" x14ac:dyDescent="0.3">
      <c r="I6327" s="12"/>
      <c r="N6327" s="12"/>
      <c r="S6327" s="12"/>
      <c r="X6327" s="12"/>
      <c r="AM6327" s="12"/>
    </row>
    <row r="6328" spans="9:39" x14ac:dyDescent="0.3">
      <c r="I6328" s="12"/>
      <c r="N6328" s="12"/>
      <c r="S6328" s="12"/>
      <c r="X6328" s="12"/>
      <c r="AM6328" s="12"/>
    </row>
    <row r="6329" spans="9:39" x14ac:dyDescent="0.3">
      <c r="I6329" s="12"/>
      <c r="N6329" s="12"/>
      <c r="S6329" s="12"/>
      <c r="X6329" s="12"/>
      <c r="AM6329" s="12"/>
    </row>
    <row r="6330" spans="9:39" x14ac:dyDescent="0.3">
      <c r="I6330" s="12"/>
      <c r="N6330" s="12"/>
      <c r="S6330" s="12"/>
      <c r="X6330" s="12"/>
      <c r="AM6330" s="12"/>
    </row>
    <row r="6331" spans="9:39" x14ac:dyDescent="0.3">
      <c r="I6331" s="12"/>
      <c r="N6331" s="12"/>
      <c r="S6331" s="12"/>
      <c r="X6331" s="12"/>
      <c r="AM6331" s="12"/>
    </row>
    <row r="6332" spans="9:39" x14ac:dyDescent="0.3">
      <c r="I6332" s="12"/>
      <c r="N6332" s="12"/>
      <c r="S6332" s="12"/>
      <c r="X6332" s="12"/>
      <c r="AM6332" s="12"/>
    </row>
    <row r="6333" spans="9:39" x14ac:dyDescent="0.3">
      <c r="I6333" s="12"/>
      <c r="N6333" s="12"/>
      <c r="S6333" s="12"/>
      <c r="X6333" s="12"/>
      <c r="AM6333" s="12"/>
    </row>
    <row r="6334" spans="9:39" x14ac:dyDescent="0.3">
      <c r="I6334" s="12"/>
      <c r="N6334" s="12"/>
      <c r="S6334" s="12"/>
      <c r="X6334" s="12"/>
      <c r="AM6334" s="12"/>
    </row>
    <row r="6335" spans="9:39" x14ac:dyDescent="0.3">
      <c r="I6335" s="12"/>
      <c r="N6335" s="12"/>
      <c r="S6335" s="12"/>
      <c r="X6335" s="12"/>
      <c r="AM6335" s="12"/>
    </row>
    <row r="6336" spans="9:39" x14ac:dyDescent="0.3">
      <c r="I6336" s="12"/>
      <c r="N6336" s="12"/>
      <c r="S6336" s="12"/>
      <c r="X6336" s="12"/>
      <c r="AM6336" s="12"/>
    </row>
    <row r="6337" spans="9:39" x14ac:dyDescent="0.3">
      <c r="I6337" s="12"/>
      <c r="N6337" s="12"/>
      <c r="S6337" s="12"/>
      <c r="X6337" s="12"/>
      <c r="AM6337" s="12"/>
    </row>
    <row r="6338" spans="9:39" x14ac:dyDescent="0.3">
      <c r="I6338" s="12"/>
      <c r="N6338" s="12"/>
      <c r="S6338" s="12"/>
      <c r="X6338" s="12"/>
      <c r="AM6338" s="12"/>
    </row>
    <row r="6339" spans="9:39" x14ac:dyDescent="0.3">
      <c r="I6339" s="12"/>
      <c r="N6339" s="12"/>
      <c r="S6339" s="12"/>
      <c r="X6339" s="12"/>
      <c r="AM6339" s="12"/>
    </row>
    <row r="6340" spans="9:39" x14ac:dyDescent="0.3">
      <c r="I6340" s="12"/>
      <c r="N6340" s="12"/>
      <c r="S6340" s="12"/>
      <c r="X6340" s="12"/>
      <c r="AM6340" s="12"/>
    </row>
    <row r="6341" spans="9:39" x14ac:dyDescent="0.3">
      <c r="I6341" s="12"/>
      <c r="N6341" s="12"/>
      <c r="S6341" s="12"/>
      <c r="X6341" s="12"/>
      <c r="AM6341" s="12"/>
    </row>
    <row r="6342" spans="9:39" x14ac:dyDescent="0.3">
      <c r="I6342" s="12"/>
      <c r="N6342" s="12"/>
      <c r="S6342" s="12"/>
      <c r="X6342" s="12"/>
      <c r="AM6342" s="12"/>
    </row>
    <row r="6343" spans="9:39" x14ac:dyDescent="0.3">
      <c r="I6343" s="12"/>
      <c r="N6343" s="12"/>
      <c r="S6343" s="12"/>
      <c r="X6343" s="12"/>
      <c r="AM6343" s="12"/>
    </row>
    <row r="6344" spans="9:39" x14ac:dyDescent="0.3">
      <c r="I6344" s="12"/>
      <c r="N6344" s="12"/>
      <c r="S6344" s="12"/>
      <c r="X6344" s="12"/>
      <c r="AM6344" s="12"/>
    </row>
    <row r="6345" spans="9:39" x14ac:dyDescent="0.3">
      <c r="I6345" s="12"/>
      <c r="N6345" s="12"/>
      <c r="S6345" s="12"/>
      <c r="X6345" s="12"/>
      <c r="AM6345" s="12"/>
    </row>
    <row r="6346" spans="9:39" x14ac:dyDescent="0.3">
      <c r="I6346" s="12"/>
      <c r="N6346" s="12"/>
      <c r="S6346" s="12"/>
      <c r="X6346" s="12"/>
      <c r="AM6346" s="12"/>
    </row>
    <row r="6347" spans="9:39" x14ac:dyDescent="0.3">
      <c r="I6347" s="12"/>
      <c r="N6347" s="12"/>
      <c r="S6347" s="12"/>
      <c r="X6347" s="12"/>
      <c r="AM6347" s="12"/>
    </row>
    <row r="6348" spans="9:39" x14ac:dyDescent="0.3">
      <c r="I6348" s="12"/>
      <c r="N6348" s="12"/>
      <c r="S6348" s="12"/>
      <c r="X6348" s="12"/>
      <c r="AM6348" s="12"/>
    </row>
    <row r="6349" spans="9:39" x14ac:dyDescent="0.3">
      <c r="I6349" s="12"/>
      <c r="N6349" s="12"/>
      <c r="S6349" s="12"/>
      <c r="X6349" s="12"/>
      <c r="AM6349" s="12"/>
    </row>
    <row r="6350" spans="9:39" x14ac:dyDescent="0.3">
      <c r="I6350" s="12"/>
      <c r="N6350" s="12"/>
      <c r="S6350" s="12"/>
      <c r="X6350" s="12"/>
      <c r="AM6350" s="12"/>
    </row>
    <row r="6351" spans="9:39" x14ac:dyDescent="0.3">
      <c r="I6351" s="12"/>
      <c r="N6351" s="12"/>
      <c r="S6351" s="12"/>
      <c r="X6351" s="12"/>
      <c r="AM6351" s="12"/>
    </row>
    <row r="6352" spans="9:39" x14ac:dyDescent="0.3">
      <c r="I6352" s="12"/>
      <c r="N6352" s="12"/>
      <c r="S6352" s="12"/>
      <c r="X6352" s="12"/>
      <c r="AM6352" s="12"/>
    </row>
    <row r="6353" spans="9:39" x14ac:dyDescent="0.3">
      <c r="I6353" s="12"/>
      <c r="N6353" s="12"/>
      <c r="S6353" s="12"/>
      <c r="X6353" s="12"/>
      <c r="AM6353" s="12"/>
    </row>
    <row r="6354" spans="9:39" x14ac:dyDescent="0.3">
      <c r="I6354" s="12"/>
      <c r="N6354" s="12"/>
      <c r="S6354" s="12"/>
      <c r="X6354" s="12"/>
      <c r="AM6354" s="12"/>
    </row>
    <row r="6355" spans="9:39" x14ac:dyDescent="0.3">
      <c r="I6355" s="12"/>
      <c r="N6355" s="12"/>
      <c r="S6355" s="12"/>
      <c r="X6355" s="12"/>
      <c r="AM6355" s="12"/>
    </row>
    <row r="6356" spans="9:39" x14ac:dyDescent="0.3">
      <c r="I6356" s="12"/>
      <c r="N6356" s="12"/>
      <c r="S6356" s="12"/>
      <c r="X6356" s="12"/>
      <c r="AM6356" s="12"/>
    </row>
    <row r="6357" spans="9:39" x14ac:dyDescent="0.3">
      <c r="I6357" s="12"/>
      <c r="N6357" s="12"/>
      <c r="S6357" s="12"/>
      <c r="X6357" s="12"/>
      <c r="AM6357" s="12"/>
    </row>
    <row r="6358" spans="9:39" x14ac:dyDescent="0.3">
      <c r="I6358" s="12"/>
      <c r="N6358" s="12"/>
      <c r="S6358" s="12"/>
      <c r="X6358" s="12"/>
      <c r="AM6358" s="12"/>
    </row>
    <row r="6359" spans="9:39" x14ac:dyDescent="0.3">
      <c r="I6359" s="12"/>
      <c r="N6359" s="12"/>
      <c r="S6359" s="12"/>
      <c r="X6359" s="12"/>
      <c r="AM6359" s="12"/>
    </row>
    <row r="6360" spans="9:39" x14ac:dyDescent="0.3">
      <c r="I6360" s="12"/>
      <c r="N6360" s="12"/>
      <c r="S6360" s="12"/>
      <c r="X6360" s="12"/>
      <c r="AM6360" s="12"/>
    </row>
    <row r="6361" spans="9:39" x14ac:dyDescent="0.3">
      <c r="I6361" s="12"/>
      <c r="N6361" s="12"/>
      <c r="S6361" s="12"/>
      <c r="X6361" s="12"/>
      <c r="AM6361" s="12"/>
    </row>
    <row r="6362" spans="9:39" x14ac:dyDescent="0.3">
      <c r="I6362" s="12"/>
      <c r="N6362" s="12"/>
      <c r="S6362" s="12"/>
      <c r="X6362" s="12"/>
      <c r="AM6362" s="12"/>
    </row>
    <row r="6363" spans="9:39" x14ac:dyDescent="0.3">
      <c r="I6363" s="12"/>
      <c r="N6363" s="12"/>
      <c r="S6363" s="12"/>
      <c r="X6363" s="12"/>
      <c r="AM6363" s="12"/>
    </row>
    <row r="6364" spans="9:39" x14ac:dyDescent="0.3">
      <c r="I6364" s="12"/>
      <c r="N6364" s="12"/>
      <c r="S6364" s="12"/>
      <c r="X6364" s="12"/>
      <c r="AM6364" s="12"/>
    </row>
    <row r="6365" spans="9:39" x14ac:dyDescent="0.3">
      <c r="I6365" s="12"/>
      <c r="N6365" s="12"/>
      <c r="S6365" s="12"/>
      <c r="X6365" s="12"/>
      <c r="AM6365" s="12"/>
    </row>
    <row r="6366" spans="9:39" x14ac:dyDescent="0.3">
      <c r="I6366" s="12"/>
      <c r="N6366" s="12"/>
      <c r="S6366" s="12"/>
      <c r="X6366" s="12"/>
      <c r="AM6366" s="12"/>
    </row>
    <row r="6367" spans="9:39" x14ac:dyDescent="0.3">
      <c r="I6367" s="12"/>
      <c r="N6367" s="12"/>
      <c r="S6367" s="12"/>
      <c r="X6367" s="12"/>
      <c r="AM6367" s="12"/>
    </row>
    <row r="6368" spans="9:39" x14ac:dyDescent="0.3">
      <c r="I6368" s="12"/>
      <c r="N6368" s="12"/>
      <c r="S6368" s="12"/>
      <c r="X6368" s="12"/>
      <c r="AM6368" s="12"/>
    </row>
    <row r="6369" spans="9:39" x14ac:dyDescent="0.3">
      <c r="I6369" s="12"/>
      <c r="N6369" s="12"/>
      <c r="S6369" s="12"/>
      <c r="X6369" s="12"/>
      <c r="AM6369" s="12"/>
    </row>
    <row r="6370" spans="9:39" x14ac:dyDescent="0.3">
      <c r="I6370" s="12"/>
      <c r="N6370" s="12"/>
      <c r="S6370" s="12"/>
      <c r="X6370" s="12"/>
      <c r="AM6370" s="12"/>
    </row>
    <row r="6371" spans="9:39" x14ac:dyDescent="0.3">
      <c r="I6371" s="12"/>
      <c r="N6371" s="12"/>
      <c r="S6371" s="12"/>
      <c r="X6371" s="12"/>
      <c r="AM6371" s="12"/>
    </row>
    <row r="6372" spans="9:39" x14ac:dyDescent="0.3">
      <c r="I6372" s="12"/>
      <c r="N6372" s="12"/>
      <c r="S6372" s="12"/>
      <c r="X6372" s="12"/>
      <c r="AM6372" s="12"/>
    </row>
    <row r="6373" spans="9:39" x14ac:dyDescent="0.3">
      <c r="I6373" s="12"/>
      <c r="N6373" s="12"/>
      <c r="S6373" s="12"/>
      <c r="X6373" s="12"/>
      <c r="AM6373" s="12"/>
    </row>
    <row r="6374" spans="9:39" x14ac:dyDescent="0.3">
      <c r="I6374" s="12"/>
      <c r="N6374" s="12"/>
      <c r="S6374" s="12"/>
      <c r="X6374" s="12"/>
      <c r="AM6374" s="12"/>
    </row>
    <row r="6375" spans="9:39" x14ac:dyDescent="0.3">
      <c r="I6375" s="12"/>
      <c r="N6375" s="12"/>
      <c r="S6375" s="12"/>
      <c r="X6375" s="12"/>
      <c r="AM6375" s="12"/>
    </row>
    <row r="6376" spans="9:39" x14ac:dyDescent="0.3">
      <c r="I6376" s="12"/>
      <c r="N6376" s="12"/>
      <c r="S6376" s="12"/>
      <c r="X6376" s="12"/>
      <c r="AM6376" s="12"/>
    </row>
    <row r="6377" spans="9:39" x14ac:dyDescent="0.3">
      <c r="I6377" s="12"/>
      <c r="N6377" s="12"/>
      <c r="S6377" s="12"/>
      <c r="X6377" s="12"/>
      <c r="AM6377" s="12"/>
    </row>
    <row r="6378" spans="9:39" x14ac:dyDescent="0.3">
      <c r="I6378" s="12"/>
      <c r="N6378" s="12"/>
      <c r="S6378" s="12"/>
      <c r="X6378" s="12"/>
      <c r="AM6378" s="12"/>
    </row>
    <row r="6379" spans="9:39" x14ac:dyDescent="0.3">
      <c r="I6379" s="12"/>
      <c r="N6379" s="12"/>
      <c r="S6379" s="12"/>
      <c r="X6379" s="12"/>
      <c r="AM6379" s="12"/>
    </row>
    <row r="6380" spans="9:39" x14ac:dyDescent="0.3">
      <c r="I6380" s="12"/>
      <c r="N6380" s="12"/>
      <c r="S6380" s="12"/>
      <c r="X6380" s="12"/>
      <c r="AM6380" s="12"/>
    </row>
    <row r="6381" spans="9:39" x14ac:dyDescent="0.3">
      <c r="I6381" s="12"/>
      <c r="N6381" s="12"/>
      <c r="S6381" s="12"/>
      <c r="X6381" s="12"/>
      <c r="AM6381" s="12"/>
    </row>
    <row r="6382" spans="9:39" x14ac:dyDescent="0.3">
      <c r="I6382" s="12"/>
      <c r="N6382" s="12"/>
      <c r="S6382" s="12"/>
      <c r="X6382" s="12"/>
      <c r="AM6382" s="12"/>
    </row>
    <row r="6383" spans="9:39" x14ac:dyDescent="0.3">
      <c r="I6383" s="12"/>
      <c r="N6383" s="12"/>
      <c r="S6383" s="12"/>
      <c r="X6383" s="12"/>
      <c r="AM6383" s="12"/>
    </row>
    <row r="6384" spans="9:39" x14ac:dyDescent="0.3">
      <c r="I6384" s="12"/>
      <c r="N6384" s="12"/>
      <c r="S6384" s="12"/>
      <c r="X6384" s="12"/>
      <c r="AM6384" s="12"/>
    </row>
    <row r="6385" spans="9:39" x14ac:dyDescent="0.3">
      <c r="I6385" s="12"/>
      <c r="N6385" s="12"/>
      <c r="S6385" s="12"/>
      <c r="X6385" s="12"/>
      <c r="AM6385" s="12"/>
    </row>
    <row r="6386" spans="9:39" x14ac:dyDescent="0.3">
      <c r="I6386" s="12"/>
      <c r="N6386" s="12"/>
      <c r="S6386" s="12"/>
      <c r="X6386" s="12"/>
      <c r="AM6386" s="12"/>
    </row>
    <row r="6387" spans="9:39" x14ac:dyDescent="0.3">
      <c r="I6387" s="12"/>
      <c r="N6387" s="12"/>
      <c r="S6387" s="12"/>
      <c r="X6387" s="12"/>
      <c r="AM6387" s="12"/>
    </row>
    <row r="6388" spans="9:39" x14ac:dyDescent="0.3">
      <c r="I6388" s="12"/>
      <c r="N6388" s="12"/>
      <c r="S6388" s="12"/>
      <c r="X6388" s="12"/>
      <c r="AM6388" s="12"/>
    </row>
    <row r="6389" spans="9:39" x14ac:dyDescent="0.3">
      <c r="I6389" s="12"/>
      <c r="N6389" s="12"/>
      <c r="S6389" s="12"/>
      <c r="X6389" s="12"/>
      <c r="AM6389" s="12"/>
    </row>
    <row r="6390" spans="9:39" x14ac:dyDescent="0.3">
      <c r="I6390" s="12"/>
      <c r="N6390" s="12"/>
      <c r="S6390" s="12"/>
      <c r="X6390" s="12"/>
      <c r="AM6390" s="12"/>
    </row>
    <row r="6391" spans="9:39" x14ac:dyDescent="0.3">
      <c r="I6391" s="12"/>
      <c r="N6391" s="12"/>
      <c r="S6391" s="12"/>
      <c r="X6391" s="12"/>
      <c r="AM6391" s="12"/>
    </row>
    <row r="6392" spans="9:39" x14ac:dyDescent="0.3">
      <c r="I6392" s="12"/>
      <c r="N6392" s="12"/>
      <c r="S6392" s="12"/>
      <c r="X6392" s="12"/>
      <c r="AM6392" s="12"/>
    </row>
    <row r="6393" spans="9:39" x14ac:dyDescent="0.3">
      <c r="I6393" s="12"/>
      <c r="N6393" s="12"/>
      <c r="S6393" s="12"/>
      <c r="X6393" s="12"/>
      <c r="AM6393" s="12"/>
    </row>
    <row r="6394" spans="9:39" x14ac:dyDescent="0.3">
      <c r="I6394" s="12"/>
      <c r="N6394" s="12"/>
      <c r="S6394" s="12"/>
      <c r="X6394" s="12"/>
      <c r="AM6394" s="12"/>
    </row>
    <row r="6395" spans="9:39" x14ac:dyDescent="0.3">
      <c r="I6395" s="12"/>
      <c r="N6395" s="12"/>
      <c r="S6395" s="12"/>
      <c r="X6395" s="12"/>
      <c r="AM6395" s="12"/>
    </row>
    <row r="6396" spans="9:39" x14ac:dyDescent="0.3">
      <c r="I6396" s="12"/>
      <c r="N6396" s="12"/>
      <c r="S6396" s="12"/>
      <c r="X6396" s="12"/>
      <c r="AM6396" s="12"/>
    </row>
    <row r="6397" spans="9:39" x14ac:dyDescent="0.3">
      <c r="I6397" s="12"/>
      <c r="N6397" s="12"/>
      <c r="S6397" s="12"/>
      <c r="X6397" s="12"/>
      <c r="AM6397" s="12"/>
    </row>
    <row r="6398" spans="9:39" x14ac:dyDescent="0.3">
      <c r="I6398" s="12"/>
      <c r="N6398" s="12"/>
      <c r="S6398" s="12"/>
      <c r="X6398" s="12"/>
      <c r="AM6398" s="12"/>
    </row>
    <row r="6399" spans="9:39" x14ac:dyDescent="0.3">
      <c r="I6399" s="12"/>
      <c r="N6399" s="12"/>
      <c r="S6399" s="12"/>
      <c r="X6399" s="12"/>
      <c r="AM6399" s="12"/>
    </row>
    <row r="6400" spans="9:39" x14ac:dyDescent="0.3">
      <c r="I6400" s="12"/>
      <c r="N6400" s="12"/>
      <c r="S6400" s="12"/>
      <c r="X6400" s="12"/>
      <c r="AM6400" s="12"/>
    </row>
    <row r="6401" spans="9:39" x14ac:dyDescent="0.3">
      <c r="I6401" s="12"/>
      <c r="N6401" s="12"/>
      <c r="S6401" s="12"/>
      <c r="X6401" s="12"/>
      <c r="AM6401" s="12"/>
    </row>
    <row r="6402" spans="9:39" x14ac:dyDescent="0.3">
      <c r="I6402" s="12"/>
      <c r="N6402" s="12"/>
      <c r="S6402" s="12"/>
      <c r="X6402" s="12"/>
      <c r="AM6402" s="12"/>
    </row>
    <row r="6403" spans="9:39" x14ac:dyDescent="0.3">
      <c r="I6403" s="12"/>
      <c r="N6403" s="12"/>
      <c r="S6403" s="12"/>
      <c r="X6403" s="12"/>
      <c r="AM6403" s="12"/>
    </row>
    <row r="6404" spans="9:39" x14ac:dyDescent="0.3">
      <c r="I6404" s="12"/>
      <c r="N6404" s="12"/>
      <c r="S6404" s="12"/>
      <c r="X6404" s="12"/>
      <c r="AM6404" s="12"/>
    </row>
    <row r="6405" spans="9:39" x14ac:dyDescent="0.3">
      <c r="I6405" s="12"/>
      <c r="N6405" s="12"/>
      <c r="S6405" s="12"/>
      <c r="X6405" s="12"/>
      <c r="AM6405" s="12"/>
    </row>
    <row r="6406" spans="9:39" x14ac:dyDescent="0.3">
      <c r="I6406" s="12"/>
      <c r="N6406" s="12"/>
      <c r="S6406" s="12"/>
      <c r="X6406" s="12"/>
      <c r="AM6406" s="12"/>
    </row>
    <row r="6407" spans="9:39" x14ac:dyDescent="0.3">
      <c r="I6407" s="12"/>
      <c r="N6407" s="12"/>
      <c r="S6407" s="12"/>
      <c r="X6407" s="12"/>
      <c r="AM6407" s="12"/>
    </row>
    <row r="6408" spans="9:39" x14ac:dyDescent="0.3">
      <c r="I6408" s="12"/>
      <c r="N6408" s="12"/>
      <c r="S6408" s="12"/>
      <c r="X6408" s="12"/>
      <c r="AM6408" s="12"/>
    </row>
    <row r="6409" spans="9:39" x14ac:dyDescent="0.3">
      <c r="I6409" s="12"/>
      <c r="N6409" s="12"/>
      <c r="S6409" s="12"/>
      <c r="X6409" s="12"/>
      <c r="AM6409" s="12"/>
    </row>
    <row r="6410" spans="9:39" x14ac:dyDescent="0.3">
      <c r="I6410" s="12"/>
      <c r="N6410" s="12"/>
      <c r="S6410" s="12"/>
      <c r="X6410" s="12"/>
      <c r="AM6410" s="12"/>
    </row>
    <row r="6411" spans="9:39" x14ac:dyDescent="0.3">
      <c r="I6411" s="12"/>
      <c r="N6411" s="12"/>
      <c r="S6411" s="12"/>
      <c r="X6411" s="12"/>
      <c r="AM6411" s="12"/>
    </row>
    <row r="6412" spans="9:39" x14ac:dyDescent="0.3">
      <c r="I6412" s="12"/>
      <c r="N6412" s="12"/>
      <c r="S6412" s="12"/>
      <c r="X6412" s="12"/>
      <c r="AM6412" s="12"/>
    </row>
    <row r="6413" spans="9:39" x14ac:dyDescent="0.3">
      <c r="I6413" s="12"/>
      <c r="N6413" s="12"/>
      <c r="S6413" s="12"/>
      <c r="X6413" s="12"/>
      <c r="AM6413" s="12"/>
    </row>
    <row r="6414" spans="9:39" x14ac:dyDescent="0.3">
      <c r="I6414" s="12"/>
      <c r="N6414" s="12"/>
      <c r="S6414" s="12"/>
      <c r="X6414" s="12"/>
      <c r="AM6414" s="12"/>
    </row>
    <row r="6415" spans="9:39" x14ac:dyDescent="0.3">
      <c r="I6415" s="12"/>
      <c r="N6415" s="12"/>
      <c r="S6415" s="12"/>
      <c r="X6415" s="12"/>
      <c r="AM6415" s="12"/>
    </row>
    <row r="6416" spans="9:39" x14ac:dyDescent="0.3">
      <c r="I6416" s="12"/>
      <c r="N6416" s="12"/>
      <c r="S6416" s="12"/>
      <c r="X6416" s="12"/>
      <c r="AM6416" s="12"/>
    </row>
    <row r="6417" spans="9:39" x14ac:dyDescent="0.3">
      <c r="I6417" s="12"/>
      <c r="N6417" s="12"/>
      <c r="S6417" s="12"/>
      <c r="X6417" s="12"/>
      <c r="AM6417" s="12"/>
    </row>
    <row r="6418" spans="9:39" x14ac:dyDescent="0.3">
      <c r="I6418" s="12"/>
      <c r="N6418" s="12"/>
      <c r="S6418" s="12"/>
      <c r="X6418" s="12"/>
      <c r="AM6418" s="12"/>
    </row>
    <row r="6419" spans="9:39" x14ac:dyDescent="0.3">
      <c r="I6419" s="12"/>
      <c r="N6419" s="12"/>
      <c r="S6419" s="12"/>
      <c r="X6419" s="12"/>
      <c r="AM6419" s="12"/>
    </row>
    <row r="6420" spans="9:39" x14ac:dyDescent="0.3">
      <c r="I6420" s="12"/>
      <c r="N6420" s="12"/>
      <c r="S6420" s="12"/>
      <c r="X6420" s="12"/>
      <c r="AM6420" s="12"/>
    </row>
    <row r="6421" spans="9:39" x14ac:dyDescent="0.3">
      <c r="I6421" s="12"/>
      <c r="N6421" s="12"/>
      <c r="S6421" s="12"/>
      <c r="X6421" s="12"/>
      <c r="AM6421" s="12"/>
    </row>
    <row r="6422" spans="9:39" x14ac:dyDescent="0.3">
      <c r="I6422" s="12"/>
      <c r="N6422" s="12"/>
      <c r="S6422" s="12"/>
      <c r="X6422" s="12"/>
      <c r="AM6422" s="12"/>
    </row>
    <row r="6423" spans="9:39" x14ac:dyDescent="0.3">
      <c r="I6423" s="12"/>
      <c r="N6423" s="12"/>
      <c r="S6423" s="12"/>
      <c r="X6423" s="12"/>
      <c r="AM6423" s="12"/>
    </row>
    <row r="6424" spans="9:39" x14ac:dyDescent="0.3">
      <c r="I6424" s="12"/>
      <c r="N6424" s="12"/>
      <c r="S6424" s="12"/>
      <c r="X6424" s="12"/>
      <c r="AM6424" s="12"/>
    </row>
    <row r="6425" spans="9:39" x14ac:dyDescent="0.3">
      <c r="I6425" s="12"/>
      <c r="N6425" s="12"/>
      <c r="S6425" s="12"/>
      <c r="X6425" s="12"/>
      <c r="AM6425" s="12"/>
    </row>
    <row r="6426" spans="9:39" x14ac:dyDescent="0.3">
      <c r="I6426" s="12"/>
      <c r="N6426" s="12"/>
      <c r="S6426" s="12"/>
      <c r="X6426" s="12"/>
      <c r="AM6426" s="12"/>
    </row>
    <row r="6427" spans="9:39" x14ac:dyDescent="0.3">
      <c r="I6427" s="12"/>
      <c r="N6427" s="12"/>
      <c r="S6427" s="12"/>
      <c r="X6427" s="12"/>
      <c r="AM6427" s="12"/>
    </row>
    <row r="6428" spans="9:39" x14ac:dyDescent="0.3">
      <c r="I6428" s="12"/>
      <c r="N6428" s="12"/>
      <c r="S6428" s="12"/>
      <c r="X6428" s="12"/>
      <c r="AM6428" s="12"/>
    </row>
    <row r="6429" spans="9:39" x14ac:dyDescent="0.3">
      <c r="I6429" s="12"/>
      <c r="N6429" s="12"/>
      <c r="S6429" s="12"/>
      <c r="X6429" s="12"/>
      <c r="AM6429" s="12"/>
    </row>
    <row r="6430" spans="9:39" x14ac:dyDescent="0.3">
      <c r="I6430" s="12"/>
      <c r="N6430" s="12"/>
      <c r="S6430" s="12"/>
      <c r="X6430" s="12"/>
      <c r="AM6430" s="12"/>
    </row>
    <row r="6431" spans="9:39" x14ac:dyDescent="0.3">
      <c r="I6431" s="12"/>
      <c r="N6431" s="12"/>
      <c r="S6431" s="12"/>
      <c r="X6431" s="12"/>
      <c r="AM6431" s="12"/>
    </row>
    <row r="6432" spans="9:39" x14ac:dyDescent="0.3">
      <c r="I6432" s="12"/>
      <c r="N6432" s="12"/>
      <c r="S6432" s="12"/>
      <c r="X6432" s="12"/>
      <c r="AM6432" s="12"/>
    </row>
    <row r="6433" spans="9:39" x14ac:dyDescent="0.3">
      <c r="I6433" s="12"/>
      <c r="N6433" s="12"/>
      <c r="S6433" s="12"/>
      <c r="X6433" s="12"/>
      <c r="AM6433" s="12"/>
    </row>
    <row r="6434" spans="9:39" x14ac:dyDescent="0.3">
      <c r="I6434" s="12"/>
      <c r="N6434" s="12"/>
      <c r="S6434" s="12"/>
      <c r="X6434" s="12"/>
      <c r="AM6434" s="12"/>
    </row>
    <row r="6435" spans="9:39" x14ac:dyDescent="0.3">
      <c r="I6435" s="12"/>
      <c r="N6435" s="12"/>
      <c r="S6435" s="12"/>
      <c r="X6435" s="12"/>
      <c r="AM6435" s="12"/>
    </row>
    <row r="6436" spans="9:39" x14ac:dyDescent="0.3">
      <c r="I6436" s="12"/>
      <c r="N6436" s="12"/>
      <c r="S6436" s="12"/>
      <c r="X6436" s="12"/>
      <c r="AM6436" s="12"/>
    </row>
    <row r="6437" spans="9:39" x14ac:dyDescent="0.3">
      <c r="I6437" s="12"/>
      <c r="N6437" s="12"/>
      <c r="S6437" s="12"/>
      <c r="X6437" s="12"/>
      <c r="AM6437" s="12"/>
    </row>
    <row r="6438" spans="9:39" x14ac:dyDescent="0.3">
      <c r="I6438" s="12"/>
      <c r="N6438" s="12"/>
      <c r="S6438" s="12"/>
      <c r="X6438" s="12"/>
      <c r="AM6438" s="12"/>
    </row>
    <row r="6439" spans="9:39" x14ac:dyDescent="0.3">
      <c r="I6439" s="12"/>
      <c r="N6439" s="12"/>
      <c r="S6439" s="12"/>
      <c r="X6439" s="12"/>
      <c r="AM6439" s="12"/>
    </row>
    <row r="6440" spans="9:39" x14ac:dyDescent="0.3">
      <c r="I6440" s="12"/>
      <c r="N6440" s="12"/>
      <c r="S6440" s="12"/>
      <c r="X6440" s="12"/>
      <c r="AM6440" s="12"/>
    </row>
    <row r="6441" spans="9:39" x14ac:dyDescent="0.3">
      <c r="I6441" s="12"/>
      <c r="N6441" s="12"/>
      <c r="S6441" s="12"/>
      <c r="X6441" s="12"/>
      <c r="AM6441" s="12"/>
    </row>
    <row r="6442" spans="9:39" x14ac:dyDescent="0.3">
      <c r="I6442" s="12"/>
      <c r="N6442" s="12"/>
      <c r="S6442" s="12"/>
      <c r="X6442" s="12"/>
      <c r="AM6442" s="12"/>
    </row>
    <row r="6443" spans="9:39" x14ac:dyDescent="0.3">
      <c r="I6443" s="12"/>
      <c r="N6443" s="12"/>
      <c r="S6443" s="12"/>
      <c r="X6443" s="12"/>
      <c r="AM6443" s="12"/>
    </row>
    <row r="6444" spans="9:39" x14ac:dyDescent="0.3">
      <c r="I6444" s="12"/>
      <c r="N6444" s="12"/>
      <c r="S6444" s="12"/>
      <c r="X6444" s="12"/>
      <c r="AM6444" s="12"/>
    </row>
    <row r="6445" spans="9:39" x14ac:dyDescent="0.3">
      <c r="I6445" s="12"/>
      <c r="N6445" s="12"/>
      <c r="S6445" s="12"/>
      <c r="X6445" s="12"/>
      <c r="AM6445" s="12"/>
    </row>
    <row r="6446" spans="9:39" x14ac:dyDescent="0.3">
      <c r="I6446" s="12"/>
      <c r="N6446" s="12"/>
      <c r="S6446" s="12"/>
      <c r="X6446" s="12"/>
      <c r="AM6446" s="12"/>
    </row>
    <row r="6447" spans="9:39" x14ac:dyDescent="0.3">
      <c r="I6447" s="12"/>
      <c r="N6447" s="12"/>
      <c r="S6447" s="12"/>
      <c r="X6447" s="12"/>
      <c r="AM6447" s="12"/>
    </row>
    <row r="6448" spans="9:39" x14ac:dyDescent="0.3">
      <c r="I6448" s="12"/>
      <c r="N6448" s="12"/>
      <c r="S6448" s="12"/>
      <c r="X6448" s="12"/>
      <c r="AM6448" s="12"/>
    </row>
    <row r="6449" spans="9:39" x14ac:dyDescent="0.3">
      <c r="I6449" s="12"/>
      <c r="N6449" s="12"/>
      <c r="S6449" s="12"/>
      <c r="X6449" s="12"/>
      <c r="AM6449" s="12"/>
    </row>
    <row r="6450" spans="9:39" x14ac:dyDescent="0.3">
      <c r="I6450" s="12"/>
      <c r="N6450" s="12"/>
      <c r="S6450" s="12"/>
      <c r="X6450" s="12"/>
      <c r="AM6450" s="12"/>
    </row>
    <row r="6451" spans="9:39" x14ac:dyDescent="0.3">
      <c r="I6451" s="12"/>
      <c r="N6451" s="12"/>
      <c r="S6451" s="12"/>
      <c r="X6451" s="12"/>
      <c r="AM6451" s="12"/>
    </row>
    <row r="6452" spans="9:39" x14ac:dyDescent="0.3">
      <c r="I6452" s="12"/>
      <c r="N6452" s="12"/>
      <c r="S6452" s="12"/>
      <c r="X6452" s="12"/>
      <c r="AM6452" s="12"/>
    </row>
    <row r="6453" spans="9:39" x14ac:dyDescent="0.3">
      <c r="I6453" s="12"/>
      <c r="N6453" s="12"/>
      <c r="S6453" s="12"/>
      <c r="X6453" s="12"/>
      <c r="AM6453" s="12"/>
    </row>
    <row r="6454" spans="9:39" x14ac:dyDescent="0.3">
      <c r="I6454" s="12"/>
      <c r="N6454" s="12"/>
      <c r="S6454" s="12"/>
      <c r="X6454" s="12"/>
      <c r="AM6454" s="12"/>
    </row>
    <row r="6455" spans="9:39" x14ac:dyDescent="0.3">
      <c r="I6455" s="12"/>
      <c r="N6455" s="12"/>
      <c r="S6455" s="12"/>
      <c r="X6455" s="12"/>
      <c r="AM6455" s="12"/>
    </row>
    <row r="6456" spans="9:39" x14ac:dyDescent="0.3">
      <c r="I6456" s="12"/>
      <c r="N6456" s="12"/>
      <c r="S6456" s="12"/>
      <c r="X6456" s="12"/>
      <c r="AM6456" s="12"/>
    </row>
    <row r="6457" spans="9:39" x14ac:dyDescent="0.3">
      <c r="I6457" s="12"/>
      <c r="N6457" s="12"/>
      <c r="S6457" s="12"/>
      <c r="X6457" s="12"/>
      <c r="AM6457" s="12"/>
    </row>
    <row r="6458" spans="9:39" x14ac:dyDescent="0.3">
      <c r="I6458" s="12"/>
      <c r="N6458" s="12"/>
      <c r="S6458" s="12"/>
      <c r="X6458" s="12"/>
      <c r="AM6458" s="12"/>
    </row>
    <row r="6459" spans="9:39" x14ac:dyDescent="0.3">
      <c r="I6459" s="12"/>
      <c r="N6459" s="12"/>
      <c r="S6459" s="12"/>
      <c r="X6459" s="12"/>
      <c r="AM6459" s="12"/>
    </row>
    <row r="6460" spans="9:39" x14ac:dyDescent="0.3">
      <c r="I6460" s="12"/>
      <c r="N6460" s="12"/>
      <c r="S6460" s="12"/>
      <c r="X6460" s="12"/>
      <c r="AM6460" s="12"/>
    </row>
    <row r="6461" spans="9:39" x14ac:dyDescent="0.3">
      <c r="I6461" s="12"/>
      <c r="N6461" s="12"/>
      <c r="S6461" s="12"/>
      <c r="X6461" s="12"/>
      <c r="AM6461" s="12"/>
    </row>
    <row r="6462" spans="9:39" x14ac:dyDescent="0.3">
      <c r="I6462" s="12"/>
      <c r="N6462" s="12"/>
      <c r="S6462" s="12"/>
      <c r="X6462" s="12"/>
      <c r="AM6462" s="12"/>
    </row>
    <row r="6463" spans="9:39" x14ac:dyDescent="0.3">
      <c r="I6463" s="12"/>
      <c r="N6463" s="12"/>
      <c r="S6463" s="12"/>
      <c r="X6463" s="12"/>
      <c r="AM6463" s="12"/>
    </row>
    <row r="6464" spans="9:39" x14ac:dyDescent="0.3">
      <c r="I6464" s="12"/>
      <c r="N6464" s="12"/>
      <c r="S6464" s="12"/>
      <c r="X6464" s="12"/>
      <c r="AM6464" s="12"/>
    </row>
    <row r="6465" spans="9:39" x14ac:dyDescent="0.3">
      <c r="I6465" s="12"/>
      <c r="N6465" s="12"/>
      <c r="S6465" s="12"/>
      <c r="X6465" s="12"/>
      <c r="AM6465" s="12"/>
    </row>
    <row r="6466" spans="9:39" x14ac:dyDescent="0.3">
      <c r="I6466" s="12"/>
      <c r="N6466" s="12"/>
      <c r="S6466" s="12"/>
      <c r="X6466" s="12"/>
      <c r="AM6466" s="12"/>
    </row>
    <row r="6467" spans="9:39" x14ac:dyDescent="0.3">
      <c r="I6467" s="12"/>
      <c r="N6467" s="12"/>
      <c r="S6467" s="12"/>
      <c r="X6467" s="12"/>
      <c r="AM6467" s="12"/>
    </row>
    <row r="6468" spans="9:39" x14ac:dyDescent="0.3">
      <c r="I6468" s="12"/>
      <c r="N6468" s="12"/>
      <c r="S6468" s="12"/>
      <c r="X6468" s="12"/>
      <c r="AM6468" s="12"/>
    </row>
    <row r="6469" spans="9:39" x14ac:dyDescent="0.3">
      <c r="I6469" s="12"/>
      <c r="N6469" s="12"/>
      <c r="S6469" s="12"/>
      <c r="X6469" s="12"/>
      <c r="AM6469" s="12"/>
    </row>
    <row r="6470" spans="9:39" x14ac:dyDescent="0.3">
      <c r="I6470" s="12"/>
      <c r="N6470" s="12"/>
      <c r="S6470" s="12"/>
      <c r="X6470" s="12"/>
      <c r="AM6470" s="12"/>
    </row>
    <row r="6471" spans="9:39" x14ac:dyDescent="0.3">
      <c r="I6471" s="12"/>
      <c r="N6471" s="12"/>
      <c r="S6471" s="12"/>
      <c r="X6471" s="12"/>
      <c r="AM6471" s="12"/>
    </row>
    <row r="6472" spans="9:39" x14ac:dyDescent="0.3">
      <c r="I6472" s="12"/>
      <c r="N6472" s="12"/>
      <c r="S6472" s="12"/>
      <c r="X6472" s="12"/>
      <c r="AM6472" s="12"/>
    </row>
    <row r="6473" spans="9:39" x14ac:dyDescent="0.3">
      <c r="I6473" s="12"/>
      <c r="N6473" s="12"/>
      <c r="S6473" s="12"/>
      <c r="X6473" s="12"/>
      <c r="AM6473" s="12"/>
    </row>
    <row r="6474" spans="9:39" x14ac:dyDescent="0.3">
      <c r="I6474" s="12"/>
      <c r="N6474" s="12"/>
      <c r="S6474" s="12"/>
      <c r="X6474" s="12"/>
      <c r="AM6474" s="12"/>
    </row>
    <row r="6475" spans="9:39" x14ac:dyDescent="0.3">
      <c r="I6475" s="12"/>
      <c r="N6475" s="12"/>
      <c r="S6475" s="12"/>
      <c r="X6475" s="12"/>
      <c r="AM6475" s="12"/>
    </row>
    <row r="6476" spans="9:39" x14ac:dyDescent="0.3">
      <c r="I6476" s="12"/>
      <c r="N6476" s="12"/>
      <c r="S6476" s="12"/>
      <c r="X6476" s="12"/>
      <c r="AM6476" s="12"/>
    </row>
    <row r="6477" spans="9:39" x14ac:dyDescent="0.3">
      <c r="I6477" s="12"/>
      <c r="N6477" s="12"/>
      <c r="S6477" s="12"/>
      <c r="X6477" s="12"/>
      <c r="AM6477" s="12"/>
    </row>
    <row r="6478" spans="9:39" x14ac:dyDescent="0.3">
      <c r="I6478" s="12"/>
      <c r="N6478" s="12"/>
      <c r="S6478" s="12"/>
      <c r="X6478" s="12"/>
      <c r="AM6478" s="12"/>
    </row>
    <row r="6479" spans="9:39" x14ac:dyDescent="0.3">
      <c r="I6479" s="12"/>
      <c r="N6479" s="12"/>
      <c r="S6479" s="12"/>
      <c r="X6479" s="12"/>
      <c r="AM6479" s="12"/>
    </row>
    <row r="6480" spans="9:39" x14ac:dyDescent="0.3">
      <c r="I6480" s="12"/>
      <c r="N6480" s="12"/>
      <c r="S6480" s="12"/>
      <c r="X6480" s="12"/>
      <c r="AM6480" s="12"/>
    </row>
    <row r="6481" spans="9:39" x14ac:dyDescent="0.3">
      <c r="I6481" s="12"/>
      <c r="N6481" s="12"/>
      <c r="S6481" s="12"/>
      <c r="X6481" s="12"/>
      <c r="AM6481" s="12"/>
    </row>
    <row r="6482" spans="9:39" x14ac:dyDescent="0.3">
      <c r="I6482" s="12"/>
      <c r="N6482" s="12"/>
      <c r="S6482" s="12"/>
      <c r="X6482" s="12"/>
      <c r="AM6482" s="12"/>
    </row>
    <row r="6483" spans="9:39" x14ac:dyDescent="0.3">
      <c r="I6483" s="12"/>
      <c r="N6483" s="12"/>
      <c r="S6483" s="12"/>
      <c r="X6483" s="12"/>
      <c r="AM6483" s="12"/>
    </row>
    <row r="6484" spans="9:39" x14ac:dyDescent="0.3">
      <c r="I6484" s="12"/>
      <c r="N6484" s="12"/>
      <c r="S6484" s="12"/>
      <c r="X6484" s="12"/>
      <c r="AM6484" s="12"/>
    </row>
    <row r="6485" spans="9:39" x14ac:dyDescent="0.3">
      <c r="I6485" s="12"/>
      <c r="N6485" s="12"/>
      <c r="S6485" s="12"/>
      <c r="X6485" s="12"/>
      <c r="AM6485" s="12"/>
    </row>
    <row r="6486" spans="9:39" x14ac:dyDescent="0.3">
      <c r="I6486" s="12"/>
      <c r="N6486" s="12"/>
      <c r="S6486" s="12"/>
      <c r="X6486" s="12"/>
      <c r="AM6486" s="12"/>
    </row>
    <row r="6487" spans="9:39" x14ac:dyDescent="0.3">
      <c r="I6487" s="12"/>
      <c r="N6487" s="12"/>
      <c r="S6487" s="12"/>
      <c r="X6487" s="12"/>
      <c r="AM6487" s="12"/>
    </row>
    <row r="6488" spans="9:39" x14ac:dyDescent="0.3">
      <c r="I6488" s="12"/>
      <c r="N6488" s="12"/>
      <c r="S6488" s="12"/>
      <c r="X6488" s="12"/>
      <c r="AM6488" s="12"/>
    </row>
    <row r="6489" spans="9:39" x14ac:dyDescent="0.3">
      <c r="I6489" s="12"/>
      <c r="N6489" s="12"/>
      <c r="S6489" s="12"/>
      <c r="X6489" s="12"/>
      <c r="AM6489" s="12"/>
    </row>
    <row r="6490" spans="9:39" x14ac:dyDescent="0.3">
      <c r="I6490" s="12"/>
      <c r="N6490" s="12"/>
      <c r="S6490" s="12"/>
      <c r="X6490" s="12"/>
      <c r="AM6490" s="12"/>
    </row>
    <row r="6491" spans="9:39" x14ac:dyDescent="0.3">
      <c r="I6491" s="12"/>
      <c r="N6491" s="12"/>
      <c r="S6491" s="12"/>
      <c r="X6491" s="12"/>
      <c r="AM6491" s="12"/>
    </row>
    <row r="6492" spans="9:39" x14ac:dyDescent="0.3">
      <c r="I6492" s="12"/>
      <c r="N6492" s="12"/>
      <c r="S6492" s="12"/>
      <c r="X6492" s="12"/>
      <c r="AM6492" s="12"/>
    </row>
    <row r="6493" spans="9:39" x14ac:dyDescent="0.3">
      <c r="I6493" s="12"/>
      <c r="N6493" s="12"/>
      <c r="S6493" s="12"/>
      <c r="X6493" s="12"/>
      <c r="AM6493" s="12"/>
    </row>
    <row r="6494" spans="9:39" x14ac:dyDescent="0.3">
      <c r="I6494" s="12"/>
      <c r="N6494" s="12"/>
      <c r="S6494" s="12"/>
      <c r="X6494" s="12"/>
      <c r="AM6494" s="12"/>
    </row>
    <row r="6495" spans="9:39" x14ac:dyDescent="0.3">
      <c r="I6495" s="12"/>
      <c r="N6495" s="12"/>
      <c r="S6495" s="12"/>
      <c r="X6495" s="12"/>
      <c r="AM6495" s="12"/>
    </row>
    <row r="6496" spans="9:39" x14ac:dyDescent="0.3">
      <c r="I6496" s="12"/>
      <c r="N6496" s="12"/>
      <c r="S6496" s="12"/>
      <c r="X6496" s="12"/>
      <c r="AM6496" s="12"/>
    </row>
    <row r="6497" spans="9:39" x14ac:dyDescent="0.3">
      <c r="I6497" s="12"/>
      <c r="N6497" s="12"/>
      <c r="S6497" s="12"/>
      <c r="X6497" s="12"/>
      <c r="AM6497" s="12"/>
    </row>
    <row r="6498" spans="9:39" x14ac:dyDescent="0.3">
      <c r="I6498" s="12"/>
      <c r="N6498" s="12"/>
      <c r="S6498" s="12"/>
      <c r="X6498" s="12"/>
      <c r="AM6498" s="12"/>
    </row>
    <row r="6499" spans="9:39" x14ac:dyDescent="0.3">
      <c r="I6499" s="12"/>
      <c r="N6499" s="12"/>
      <c r="S6499" s="12"/>
      <c r="X6499" s="12"/>
      <c r="AM6499" s="12"/>
    </row>
    <row r="6500" spans="9:39" x14ac:dyDescent="0.3">
      <c r="I6500" s="12"/>
      <c r="N6500" s="12"/>
      <c r="S6500" s="12"/>
      <c r="X6500" s="12"/>
      <c r="AM6500" s="12"/>
    </row>
    <row r="6501" spans="9:39" x14ac:dyDescent="0.3">
      <c r="I6501" s="12"/>
      <c r="N6501" s="12"/>
      <c r="S6501" s="12"/>
      <c r="X6501" s="12"/>
      <c r="AM6501" s="12"/>
    </row>
    <row r="6502" spans="9:39" x14ac:dyDescent="0.3">
      <c r="I6502" s="12"/>
      <c r="N6502" s="12"/>
      <c r="S6502" s="12"/>
      <c r="X6502" s="12"/>
      <c r="AM6502" s="12"/>
    </row>
    <row r="6503" spans="9:39" x14ac:dyDescent="0.3">
      <c r="I6503" s="12"/>
      <c r="N6503" s="12"/>
      <c r="S6503" s="12"/>
      <c r="X6503" s="12"/>
      <c r="AM6503" s="12"/>
    </row>
    <row r="6504" spans="9:39" x14ac:dyDescent="0.3">
      <c r="I6504" s="12"/>
      <c r="N6504" s="12"/>
      <c r="S6504" s="12"/>
      <c r="X6504" s="12"/>
      <c r="AM6504" s="12"/>
    </row>
    <row r="6505" spans="9:39" x14ac:dyDescent="0.3">
      <c r="I6505" s="12"/>
      <c r="N6505" s="12"/>
      <c r="S6505" s="12"/>
      <c r="X6505" s="12"/>
      <c r="AM6505" s="12"/>
    </row>
    <row r="6506" spans="9:39" x14ac:dyDescent="0.3">
      <c r="I6506" s="12"/>
      <c r="N6506" s="12"/>
      <c r="S6506" s="12"/>
      <c r="X6506" s="12"/>
      <c r="AM6506" s="12"/>
    </row>
    <row r="6507" spans="9:39" x14ac:dyDescent="0.3">
      <c r="I6507" s="12"/>
      <c r="N6507" s="12"/>
      <c r="S6507" s="12"/>
      <c r="X6507" s="12"/>
      <c r="AM6507" s="12"/>
    </row>
    <row r="6508" spans="9:39" x14ac:dyDescent="0.3">
      <c r="I6508" s="12"/>
      <c r="N6508" s="12"/>
      <c r="S6508" s="12"/>
      <c r="X6508" s="12"/>
      <c r="AM6508" s="12"/>
    </row>
    <row r="6509" spans="9:39" x14ac:dyDescent="0.3">
      <c r="I6509" s="12"/>
      <c r="N6509" s="12"/>
      <c r="S6509" s="12"/>
      <c r="X6509" s="12"/>
      <c r="AM6509" s="12"/>
    </row>
    <row r="6510" spans="9:39" x14ac:dyDescent="0.3">
      <c r="I6510" s="12"/>
      <c r="N6510" s="12"/>
      <c r="S6510" s="12"/>
      <c r="X6510" s="12"/>
      <c r="AM6510" s="12"/>
    </row>
    <row r="6511" spans="9:39" x14ac:dyDescent="0.3">
      <c r="I6511" s="12"/>
      <c r="N6511" s="12"/>
      <c r="S6511" s="12"/>
      <c r="X6511" s="12"/>
      <c r="AM6511" s="12"/>
    </row>
    <row r="6512" spans="9:39" x14ac:dyDescent="0.3">
      <c r="I6512" s="12"/>
      <c r="N6512" s="12"/>
      <c r="S6512" s="12"/>
      <c r="X6512" s="12"/>
      <c r="AM6512" s="12"/>
    </row>
    <row r="6513" spans="9:39" x14ac:dyDescent="0.3">
      <c r="I6513" s="12"/>
      <c r="N6513" s="12"/>
      <c r="S6513" s="12"/>
      <c r="X6513" s="12"/>
      <c r="AM6513" s="12"/>
    </row>
    <row r="6514" spans="9:39" x14ac:dyDescent="0.3">
      <c r="I6514" s="12"/>
      <c r="N6514" s="12"/>
      <c r="S6514" s="12"/>
      <c r="X6514" s="12"/>
      <c r="AM6514" s="12"/>
    </row>
    <row r="6515" spans="9:39" x14ac:dyDescent="0.3">
      <c r="I6515" s="12"/>
      <c r="N6515" s="12"/>
      <c r="S6515" s="12"/>
      <c r="X6515" s="12"/>
      <c r="AM6515" s="12"/>
    </row>
    <row r="6516" spans="9:39" x14ac:dyDescent="0.3">
      <c r="I6516" s="12"/>
      <c r="N6516" s="12"/>
      <c r="S6516" s="12"/>
      <c r="X6516" s="12"/>
      <c r="AM6516" s="12"/>
    </row>
    <row r="6517" spans="9:39" x14ac:dyDescent="0.3">
      <c r="I6517" s="12"/>
      <c r="N6517" s="12"/>
      <c r="S6517" s="12"/>
      <c r="X6517" s="12"/>
      <c r="AM6517" s="12"/>
    </row>
    <row r="6518" spans="9:39" x14ac:dyDescent="0.3">
      <c r="I6518" s="12"/>
      <c r="N6518" s="12"/>
      <c r="S6518" s="12"/>
      <c r="X6518" s="12"/>
      <c r="AM6518" s="12"/>
    </row>
    <row r="6519" spans="9:39" x14ac:dyDescent="0.3">
      <c r="I6519" s="12"/>
      <c r="N6519" s="12"/>
      <c r="S6519" s="12"/>
      <c r="X6519" s="12"/>
      <c r="AM6519" s="12"/>
    </row>
    <row r="6520" spans="9:39" x14ac:dyDescent="0.3">
      <c r="I6520" s="12"/>
      <c r="N6520" s="12"/>
      <c r="S6520" s="12"/>
      <c r="X6520" s="12"/>
      <c r="AM6520" s="12"/>
    </row>
    <row r="6521" spans="9:39" x14ac:dyDescent="0.3">
      <c r="I6521" s="12"/>
      <c r="N6521" s="12"/>
      <c r="S6521" s="12"/>
      <c r="X6521" s="12"/>
      <c r="AM6521" s="12"/>
    </row>
    <row r="6522" spans="9:39" x14ac:dyDescent="0.3">
      <c r="I6522" s="12"/>
      <c r="N6522" s="12"/>
      <c r="S6522" s="12"/>
      <c r="X6522" s="12"/>
      <c r="AM6522" s="12"/>
    </row>
    <row r="6523" spans="9:39" x14ac:dyDescent="0.3">
      <c r="I6523" s="12"/>
      <c r="N6523" s="12"/>
      <c r="S6523" s="12"/>
      <c r="X6523" s="12"/>
      <c r="AM6523" s="12"/>
    </row>
    <row r="6524" spans="9:39" x14ac:dyDescent="0.3">
      <c r="I6524" s="12"/>
      <c r="N6524" s="12"/>
      <c r="S6524" s="12"/>
      <c r="X6524" s="12"/>
      <c r="AM6524" s="12"/>
    </row>
    <row r="6525" spans="9:39" x14ac:dyDescent="0.3">
      <c r="I6525" s="12"/>
      <c r="N6525" s="12"/>
      <c r="S6525" s="12"/>
      <c r="X6525" s="12"/>
      <c r="AM6525" s="12"/>
    </row>
    <row r="6526" spans="9:39" x14ac:dyDescent="0.3">
      <c r="I6526" s="12"/>
      <c r="N6526" s="12"/>
      <c r="S6526" s="12"/>
      <c r="X6526" s="12"/>
      <c r="AM6526" s="12"/>
    </row>
    <row r="6527" spans="9:39" x14ac:dyDescent="0.3">
      <c r="I6527" s="12"/>
      <c r="N6527" s="12"/>
      <c r="S6527" s="12"/>
      <c r="X6527" s="12"/>
      <c r="AM6527" s="12"/>
    </row>
    <row r="6528" spans="9:39" x14ac:dyDescent="0.3">
      <c r="I6528" s="12"/>
      <c r="N6528" s="12"/>
      <c r="S6528" s="12"/>
      <c r="X6528" s="12"/>
      <c r="AM6528" s="12"/>
    </row>
    <row r="6529" spans="9:39" x14ac:dyDescent="0.3">
      <c r="I6529" s="12"/>
      <c r="N6529" s="12"/>
      <c r="S6529" s="12"/>
      <c r="X6529" s="12"/>
      <c r="AM6529" s="12"/>
    </row>
    <row r="6530" spans="9:39" x14ac:dyDescent="0.3">
      <c r="I6530" s="12"/>
      <c r="N6530" s="12"/>
      <c r="S6530" s="12"/>
      <c r="X6530" s="12"/>
      <c r="AM6530" s="12"/>
    </row>
    <row r="6531" spans="9:39" x14ac:dyDescent="0.3">
      <c r="I6531" s="12"/>
      <c r="N6531" s="12"/>
      <c r="S6531" s="12"/>
      <c r="X6531" s="12"/>
      <c r="AM6531" s="12"/>
    </row>
    <row r="6532" spans="9:39" x14ac:dyDescent="0.3">
      <c r="I6532" s="12"/>
      <c r="N6532" s="12"/>
      <c r="S6532" s="12"/>
      <c r="X6532" s="12"/>
      <c r="AM6532" s="12"/>
    </row>
    <row r="6533" spans="9:39" x14ac:dyDescent="0.3">
      <c r="I6533" s="12"/>
      <c r="N6533" s="12"/>
      <c r="S6533" s="12"/>
      <c r="X6533" s="12"/>
      <c r="AM6533" s="12"/>
    </row>
    <row r="6534" spans="9:39" x14ac:dyDescent="0.3">
      <c r="I6534" s="12"/>
      <c r="N6534" s="12"/>
      <c r="S6534" s="12"/>
      <c r="X6534" s="12"/>
      <c r="AM6534" s="12"/>
    </row>
    <row r="6535" spans="9:39" x14ac:dyDescent="0.3">
      <c r="I6535" s="12"/>
      <c r="N6535" s="12"/>
      <c r="S6535" s="12"/>
      <c r="X6535" s="12"/>
      <c r="AM6535" s="12"/>
    </row>
    <row r="6536" spans="9:39" x14ac:dyDescent="0.3">
      <c r="I6536" s="12"/>
      <c r="N6536" s="12"/>
      <c r="S6536" s="12"/>
      <c r="X6536" s="12"/>
      <c r="AM6536" s="12"/>
    </row>
    <row r="6537" spans="9:39" x14ac:dyDescent="0.3">
      <c r="I6537" s="12"/>
      <c r="N6537" s="12"/>
      <c r="S6537" s="12"/>
      <c r="X6537" s="12"/>
      <c r="AM6537" s="12"/>
    </row>
    <row r="6538" spans="9:39" x14ac:dyDescent="0.3">
      <c r="I6538" s="12"/>
      <c r="N6538" s="12"/>
      <c r="S6538" s="12"/>
      <c r="X6538" s="12"/>
      <c r="AM6538" s="12"/>
    </row>
    <row r="6539" spans="9:39" x14ac:dyDescent="0.3">
      <c r="I6539" s="12"/>
      <c r="N6539" s="12"/>
      <c r="S6539" s="12"/>
      <c r="X6539" s="12"/>
      <c r="AM6539" s="12"/>
    </row>
    <row r="6540" spans="9:39" x14ac:dyDescent="0.3">
      <c r="I6540" s="12"/>
      <c r="N6540" s="12"/>
      <c r="S6540" s="12"/>
      <c r="X6540" s="12"/>
      <c r="AM6540" s="12"/>
    </row>
    <row r="6541" spans="9:39" x14ac:dyDescent="0.3">
      <c r="I6541" s="12"/>
      <c r="N6541" s="12"/>
      <c r="S6541" s="12"/>
      <c r="X6541" s="12"/>
      <c r="AM6541" s="12"/>
    </row>
    <row r="6542" spans="9:39" x14ac:dyDescent="0.3">
      <c r="I6542" s="12"/>
      <c r="N6542" s="12"/>
      <c r="S6542" s="12"/>
      <c r="X6542" s="12"/>
      <c r="AM6542" s="12"/>
    </row>
    <row r="6543" spans="9:39" x14ac:dyDescent="0.3">
      <c r="I6543" s="12"/>
      <c r="N6543" s="12"/>
      <c r="S6543" s="12"/>
      <c r="X6543" s="12"/>
      <c r="AM6543" s="12"/>
    </row>
    <row r="6544" spans="9:39" x14ac:dyDescent="0.3">
      <c r="I6544" s="12"/>
      <c r="N6544" s="12"/>
      <c r="S6544" s="12"/>
      <c r="X6544" s="12"/>
      <c r="AM6544" s="12"/>
    </row>
    <row r="6545" spans="9:39" x14ac:dyDescent="0.3">
      <c r="I6545" s="12"/>
      <c r="N6545" s="12"/>
      <c r="S6545" s="12"/>
      <c r="X6545" s="12"/>
      <c r="AM6545" s="12"/>
    </row>
    <row r="6546" spans="9:39" x14ac:dyDescent="0.3">
      <c r="I6546" s="12"/>
      <c r="N6546" s="12"/>
      <c r="S6546" s="12"/>
      <c r="X6546" s="12"/>
      <c r="AM6546" s="12"/>
    </row>
    <row r="6547" spans="9:39" x14ac:dyDescent="0.3">
      <c r="I6547" s="12"/>
      <c r="N6547" s="12"/>
      <c r="S6547" s="12"/>
      <c r="X6547" s="12"/>
      <c r="AM6547" s="12"/>
    </row>
    <row r="6548" spans="9:39" x14ac:dyDescent="0.3">
      <c r="I6548" s="12"/>
      <c r="N6548" s="12"/>
      <c r="S6548" s="12"/>
      <c r="X6548" s="12"/>
      <c r="AM6548" s="12"/>
    </row>
    <row r="6549" spans="9:39" x14ac:dyDescent="0.3">
      <c r="I6549" s="12"/>
      <c r="N6549" s="12"/>
      <c r="S6549" s="12"/>
      <c r="X6549" s="12"/>
      <c r="AM6549" s="12"/>
    </row>
    <row r="6550" spans="9:39" x14ac:dyDescent="0.3">
      <c r="I6550" s="12"/>
      <c r="N6550" s="12"/>
      <c r="S6550" s="12"/>
      <c r="X6550" s="12"/>
      <c r="AM6550" s="12"/>
    </row>
    <row r="6551" spans="9:39" x14ac:dyDescent="0.3">
      <c r="I6551" s="12"/>
      <c r="N6551" s="12"/>
      <c r="S6551" s="12"/>
      <c r="X6551" s="12"/>
      <c r="AM6551" s="12"/>
    </row>
    <row r="6552" spans="9:39" x14ac:dyDescent="0.3">
      <c r="I6552" s="12"/>
      <c r="N6552" s="12"/>
      <c r="S6552" s="12"/>
      <c r="X6552" s="12"/>
      <c r="AM6552" s="12"/>
    </row>
    <row r="6553" spans="9:39" x14ac:dyDescent="0.3">
      <c r="I6553" s="12"/>
      <c r="N6553" s="12"/>
      <c r="S6553" s="12"/>
      <c r="X6553" s="12"/>
      <c r="AM6553" s="12"/>
    </row>
    <row r="6554" spans="9:39" x14ac:dyDescent="0.3">
      <c r="I6554" s="12"/>
      <c r="N6554" s="12"/>
      <c r="S6554" s="12"/>
      <c r="X6554" s="12"/>
      <c r="AM6554" s="12"/>
    </row>
    <row r="6555" spans="9:39" x14ac:dyDescent="0.3">
      <c r="I6555" s="12"/>
      <c r="N6555" s="12"/>
      <c r="S6555" s="12"/>
      <c r="X6555" s="12"/>
      <c r="AM6555" s="12"/>
    </row>
    <row r="6556" spans="9:39" x14ac:dyDescent="0.3">
      <c r="I6556" s="12"/>
      <c r="N6556" s="12"/>
      <c r="S6556" s="12"/>
      <c r="X6556" s="12"/>
      <c r="AM6556" s="12"/>
    </row>
    <row r="6557" spans="9:39" x14ac:dyDescent="0.3">
      <c r="I6557" s="12"/>
      <c r="N6557" s="12"/>
      <c r="S6557" s="12"/>
      <c r="X6557" s="12"/>
      <c r="AM6557" s="12"/>
    </row>
    <row r="6558" spans="9:39" x14ac:dyDescent="0.3">
      <c r="I6558" s="12"/>
      <c r="N6558" s="12"/>
      <c r="S6558" s="12"/>
      <c r="X6558" s="12"/>
      <c r="AM6558" s="12"/>
    </row>
    <row r="6559" spans="9:39" x14ac:dyDescent="0.3">
      <c r="I6559" s="12"/>
      <c r="N6559" s="12"/>
      <c r="S6559" s="12"/>
      <c r="X6559" s="12"/>
      <c r="AM6559" s="12"/>
    </row>
    <row r="6560" spans="9:39" x14ac:dyDescent="0.3">
      <c r="I6560" s="12"/>
      <c r="N6560" s="12"/>
      <c r="S6560" s="12"/>
      <c r="X6560" s="12"/>
      <c r="AM6560" s="12"/>
    </row>
    <row r="6561" spans="9:39" x14ac:dyDescent="0.3">
      <c r="I6561" s="12"/>
      <c r="N6561" s="12"/>
      <c r="S6561" s="12"/>
      <c r="X6561" s="12"/>
      <c r="AM6561" s="12"/>
    </row>
    <row r="6562" spans="9:39" x14ac:dyDescent="0.3">
      <c r="I6562" s="12"/>
      <c r="N6562" s="12"/>
      <c r="S6562" s="12"/>
      <c r="X6562" s="12"/>
      <c r="AM6562" s="12"/>
    </row>
    <row r="6563" spans="9:39" x14ac:dyDescent="0.3">
      <c r="I6563" s="12"/>
      <c r="N6563" s="12"/>
      <c r="S6563" s="12"/>
      <c r="X6563" s="12"/>
      <c r="AM6563" s="12"/>
    </row>
    <row r="6564" spans="9:39" x14ac:dyDescent="0.3">
      <c r="I6564" s="12"/>
      <c r="N6564" s="12"/>
      <c r="S6564" s="12"/>
      <c r="X6564" s="12"/>
      <c r="AM6564" s="12"/>
    </row>
    <row r="6565" spans="9:39" x14ac:dyDescent="0.3">
      <c r="I6565" s="12"/>
      <c r="N6565" s="12"/>
      <c r="S6565" s="12"/>
      <c r="X6565" s="12"/>
      <c r="AM6565" s="12"/>
    </row>
    <row r="6566" spans="9:39" x14ac:dyDescent="0.3">
      <c r="I6566" s="12"/>
      <c r="N6566" s="12"/>
      <c r="S6566" s="12"/>
      <c r="X6566" s="12"/>
      <c r="AM6566" s="12"/>
    </row>
    <row r="6567" spans="9:39" x14ac:dyDescent="0.3">
      <c r="I6567" s="12"/>
      <c r="N6567" s="12"/>
      <c r="S6567" s="12"/>
      <c r="X6567" s="12"/>
      <c r="AM6567" s="12"/>
    </row>
    <row r="6568" spans="9:39" x14ac:dyDescent="0.3">
      <c r="I6568" s="12"/>
      <c r="N6568" s="12"/>
      <c r="S6568" s="12"/>
      <c r="X6568" s="12"/>
      <c r="AM6568" s="12"/>
    </row>
    <row r="6569" spans="9:39" x14ac:dyDescent="0.3">
      <c r="I6569" s="12"/>
      <c r="N6569" s="12"/>
      <c r="S6569" s="12"/>
      <c r="X6569" s="12"/>
      <c r="AM6569" s="12"/>
    </row>
    <row r="6570" spans="9:39" x14ac:dyDescent="0.3">
      <c r="I6570" s="12"/>
      <c r="N6570" s="12"/>
      <c r="S6570" s="12"/>
      <c r="X6570" s="12"/>
      <c r="AM6570" s="12"/>
    </row>
    <row r="6571" spans="9:39" x14ac:dyDescent="0.3">
      <c r="I6571" s="12"/>
      <c r="N6571" s="12"/>
      <c r="S6571" s="12"/>
      <c r="X6571" s="12"/>
      <c r="AM6571" s="12"/>
    </row>
    <row r="6572" spans="9:39" x14ac:dyDescent="0.3">
      <c r="I6572" s="12"/>
      <c r="N6572" s="12"/>
      <c r="S6572" s="12"/>
      <c r="X6572" s="12"/>
      <c r="AM6572" s="12"/>
    </row>
    <row r="6573" spans="9:39" x14ac:dyDescent="0.3">
      <c r="I6573" s="12"/>
      <c r="N6573" s="12"/>
      <c r="S6573" s="12"/>
      <c r="X6573" s="12"/>
      <c r="AM6573" s="12"/>
    </row>
    <row r="6574" spans="9:39" x14ac:dyDescent="0.3">
      <c r="I6574" s="12"/>
      <c r="N6574" s="12"/>
      <c r="S6574" s="12"/>
      <c r="X6574" s="12"/>
      <c r="AM6574" s="12"/>
    </row>
    <row r="6575" spans="9:39" x14ac:dyDescent="0.3">
      <c r="I6575" s="12"/>
      <c r="N6575" s="12"/>
      <c r="S6575" s="12"/>
      <c r="X6575" s="12"/>
      <c r="AM6575" s="12"/>
    </row>
    <row r="6576" spans="9:39" x14ac:dyDescent="0.3">
      <c r="I6576" s="12"/>
      <c r="N6576" s="12"/>
      <c r="S6576" s="12"/>
      <c r="X6576" s="12"/>
      <c r="AM6576" s="12"/>
    </row>
    <row r="6577" spans="9:39" x14ac:dyDescent="0.3">
      <c r="I6577" s="12"/>
      <c r="N6577" s="12"/>
      <c r="S6577" s="12"/>
      <c r="X6577" s="12"/>
      <c r="AM6577" s="12"/>
    </row>
    <row r="6578" spans="9:39" x14ac:dyDescent="0.3">
      <c r="I6578" s="12"/>
      <c r="N6578" s="12"/>
      <c r="S6578" s="12"/>
      <c r="X6578" s="12"/>
      <c r="AM6578" s="12"/>
    </row>
    <row r="6579" spans="9:39" x14ac:dyDescent="0.3">
      <c r="I6579" s="12"/>
      <c r="N6579" s="12"/>
      <c r="S6579" s="12"/>
      <c r="X6579" s="12"/>
      <c r="AM6579" s="12"/>
    </row>
    <row r="6580" spans="9:39" x14ac:dyDescent="0.3">
      <c r="I6580" s="12"/>
      <c r="N6580" s="12"/>
      <c r="S6580" s="12"/>
      <c r="X6580" s="12"/>
      <c r="AM6580" s="12"/>
    </row>
    <row r="6581" spans="9:39" x14ac:dyDescent="0.3">
      <c r="I6581" s="12"/>
      <c r="N6581" s="12"/>
      <c r="S6581" s="12"/>
      <c r="X6581" s="12"/>
      <c r="AM6581" s="12"/>
    </row>
    <row r="6582" spans="9:39" x14ac:dyDescent="0.3">
      <c r="I6582" s="12"/>
      <c r="N6582" s="12"/>
      <c r="S6582" s="12"/>
      <c r="X6582" s="12"/>
      <c r="AM6582" s="12"/>
    </row>
    <row r="6583" spans="9:39" x14ac:dyDescent="0.3">
      <c r="I6583" s="12"/>
      <c r="N6583" s="12"/>
      <c r="S6583" s="12"/>
      <c r="X6583" s="12"/>
      <c r="AM6583" s="12"/>
    </row>
    <row r="6584" spans="9:39" x14ac:dyDescent="0.3">
      <c r="I6584" s="12"/>
      <c r="N6584" s="12"/>
      <c r="S6584" s="12"/>
      <c r="X6584" s="12"/>
      <c r="AM6584" s="12"/>
    </row>
    <row r="6585" spans="9:39" x14ac:dyDescent="0.3">
      <c r="I6585" s="12"/>
      <c r="N6585" s="12"/>
      <c r="S6585" s="12"/>
      <c r="X6585" s="12"/>
      <c r="AM6585" s="12"/>
    </row>
    <row r="6586" spans="9:39" x14ac:dyDescent="0.3">
      <c r="I6586" s="12"/>
      <c r="N6586" s="12"/>
      <c r="S6586" s="12"/>
      <c r="X6586" s="12"/>
      <c r="AM6586" s="12"/>
    </row>
    <row r="6587" spans="9:39" x14ac:dyDescent="0.3">
      <c r="I6587" s="12"/>
      <c r="N6587" s="12"/>
      <c r="S6587" s="12"/>
      <c r="X6587" s="12"/>
      <c r="AM6587" s="12"/>
    </row>
    <row r="6588" spans="9:39" x14ac:dyDescent="0.3">
      <c r="I6588" s="12"/>
      <c r="N6588" s="12"/>
      <c r="S6588" s="12"/>
      <c r="X6588" s="12"/>
      <c r="AM6588" s="12"/>
    </row>
    <row r="6589" spans="9:39" x14ac:dyDescent="0.3">
      <c r="I6589" s="12"/>
      <c r="N6589" s="12"/>
      <c r="S6589" s="12"/>
      <c r="X6589" s="12"/>
      <c r="AM6589" s="12"/>
    </row>
    <row r="6590" spans="9:39" x14ac:dyDescent="0.3">
      <c r="I6590" s="12"/>
      <c r="N6590" s="12"/>
      <c r="S6590" s="12"/>
      <c r="X6590" s="12"/>
      <c r="AM6590" s="12"/>
    </row>
    <row r="6591" spans="9:39" x14ac:dyDescent="0.3">
      <c r="I6591" s="12"/>
      <c r="N6591" s="12"/>
      <c r="S6591" s="12"/>
      <c r="X6591" s="12"/>
      <c r="AM6591" s="12"/>
    </row>
    <row r="6592" spans="9:39" x14ac:dyDescent="0.3">
      <c r="I6592" s="12"/>
      <c r="N6592" s="12"/>
      <c r="S6592" s="12"/>
      <c r="X6592" s="12"/>
      <c r="AM6592" s="12"/>
    </row>
    <row r="6593" spans="9:39" x14ac:dyDescent="0.3">
      <c r="I6593" s="12"/>
      <c r="N6593" s="12"/>
      <c r="S6593" s="12"/>
      <c r="X6593" s="12"/>
      <c r="AM6593" s="12"/>
    </row>
    <row r="6594" spans="9:39" x14ac:dyDescent="0.3">
      <c r="I6594" s="12"/>
      <c r="N6594" s="12"/>
      <c r="S6594" s="12"/>
      <c r="X6594" s="12"/>
      <c r="AM6594" s="12"/>
    </row>
    <row r="6595" spans="9:39" x14ac:dyDescent="0.3">
      <c r="I6595" s="12"/>
      <c r="N6595" s="12"/>
      <c r="S6595" s="12"/>
      <c r="X6595" s="12"/>
      <c r="AM6595" s="12"/>
    </row>
    <row r="6596" spans="9:39" x14ac:dyDescent="0.3">
      <c r="I6596" s="12"/>
      <c r="N6596" s="12"/>
      <c r="S6596" s="12"/>
      <c r="X6596" s="12"/>
      <c r="AM6596" s="12"/>
    </row>
    <row r="6597" spans="9:39" x14ac:dyDescent="0.3">
      <c r="I6597" s="12"/>
      <c r="N6597" s="12"/>
      <c r="S6597" s="12"/>
      <c r="X6597" s="12"/>
      <c r="AM6597" s="12"/>
    </row>
    <row r="6598" spans="9:39" x14ac:dyDescent="0.3">
      <c r="I6598" s="12"/>
      <c r="N6598" s="12"/>
      <c r="S6598" s="12"/>
      <c r="X6598" s="12"/>
      <c r="AM6598" s="12"/>
    </row>
    <row r="6599" spans="9:39" x14ac:dyDescent="0.3">
      <c r="I6599" s="12"/>
      <c r="N6599" s="12"/>
      <c r="S6599" s="12"/>
      <c r="X6599" s="12"/>
      <c r="AM6599" s="12"/>
    </row>
    <row r="6600" spans="9:39" x14ac:dyDescent="0.3">
      <c r="I6600" s="12"/>
      <c r="N6600" s="12"/>
      <c r="S6600" s="12"/>
      <c r="X6600" s="12"/>
      <c r="AM6600" s="12"/>
    </row>
    <row r="6601" spans="9:39" x14ac:dyDescent="0.3">
      <c r="I6601" s="12"/>
      <c r="N6601" s="12"/>
      <c r="S6601" s="12"/>
      <c r="X6601" s="12"/>
      <c r="AM6601" s="12"/>
    </row>
    <row r="6602" spans="9:39" x14ac:dyDescent="0.3">
      <c r="I6602" s="12"/>
      <c r="N6602" s="12"/>
      <c r="S6602" s="12"/>
      <c r="X6602" s="12"/>
      <c r="AM6602" s="12"/>
    </row>
    <row r="6603" spans="9:39" x14ac:dyDescent="0.3">
      <c r="I6603" s="12"/>
      <c r="N6603" s="12"/>
      <c r="S6603" s="12"/>
      <c r="X6603" s="12"/>
      <c r="AM6603" s="12"/>
    </row>
    <row r="6604" spans="9:39" x14ac:dyDescent="0.3">
      <c r="I6604" s="12"/>
      <c r="N6604" s="12"/>
      <c r="S6604" s="12"/>
      <c r="X6604" s="12"/>
      <c r="AM6604" s="12"/>
    </row>
    <row r="6605" spans="9:39" x14ac:dyDescent="0.3">
      <c r="I6605" s="12"/>
      <c r="N6605" s="12"/>
      <c r="S6605" s="12"/>
      <c r="X6605" s="12"/>
      <c r="AM6605" s="12"/>
    </row>
    <row r="6606" spans="9:39" x14ac:dyDescent="0.3">
      <c r="I6606" s="12"/>
      <c r="N6606" s="12"/>
      <c r="S6606" s="12"/>
      <c r="X6606" s="12"/>
      <c r="AM6606" s="12"/>
    </row>
    <row r="6607" spans="9:39" x14ac:dyDescent="0.3">
      <c r="I6607" s="12"/>
      <c r="N6607" s="12"/>
      <c r="S6607" s="12"/>
      <c r="X6607" s="12"/>
      <c r="AM6607" s="12"/>
    </row>
    <row r="6608" spans="9:39" x14ac:dyDescent="0.3">
      <c r="I6608" s="12"/>
      <c r="N6608" s="12"/>
      <c r="S6608" s="12"/>
      <c r="X6608" s="12"/>
      <c r="AM6608" s="12"/>
    </row>
    <row r="6609" spans="9:39" x14ac:dyDescent="0.3">
      <c r="I6609" s="12"/>
      <c r="N6609" s="12"/>
      <c r="S6609" s="12"/>
      <c r="X6609" s="12"/>
      <c r="AM6609" s="12"/>
    </row>
    <row r="6610" spans="9:39" x14ac:dyDescent="0.3">
      <c r="I6610" s="12"/>
      <c r="N6610" s="12"/>
      <c r="S6610" s="12"/>
      <c r="X6610" s="12"/>
      <c r="AM6610" s="12"/>
    </row>
    <row r="6611" spans="9:39" x14ac:dyDescent="0.3">
      <c r="I6611" s="12"/>
      <c r="N6611" s="12"/>
      <c r="S6611" s="12"/>
      <c r="X6611" s="12"/>
      <c r="AM6611" s="12"/>
    </row>
    <row r="6612" spans="9:39" x14ac:dyDescent="0.3">
      <c r="I6612" s="12"/>
      <c r="N6612" s="12"/>
      <c r="S6612" s="12"/>
      <c r="X6612" s="12"/>
      <c r="AM6612" s="12"/>
    </row>
    <row r="6613" spans="9:39" x14ac:dyDescent="0.3">
      <c r="I6613" s="12"/>
      <c r="N6613" s="12"/>
      <c r="S6613" s="12"/>
      <c r="X6613" s="12"/>
      <c r="AM6613" s="12"/>
    </row>
    <row r="6614" spans="9:39" x14ac:dyDescent="0.3">
      <c r="I6614" s="12"/>
      <c r="N6614" s="12"/>
      <c r="S6614" s="12"/>
      <c r="X6614" s="12"/>
      <c r="AM6614" s="12"/>
    </row>
    <row r="6615" spans="9:39" x14ac:dyDescent="0.3">
      <c r="I6615" s="12"/>
      <c r="N6615" s="12"/>
      <c r="S6615" s="12"/>
      <c r="X6615" s="12"/>
      <c r="AM6615" s="12"/>
    </row>
    <row r="6616" spans="9:39" x14ac:dyDescent="0.3">
      <c r="I6616" s="12"/>
      <c r="N6616" s="12"/>
      <c r="S6616" s="12"/>
      <c r="X6616" s="12"/>
      <c r="AM6616" s="12"/>
    </row>
    <row r="6617" spans="9:39" x14ac:dyDescent="0.3">
      <c r="I6617" s="12"/>
      <c r="N6617" s="12"/>
      <c r="S6617" s="12"/>
      <c r="X6617" s="12"/>
      <c r="AM6617" s="12"/>
    </row>
    <row r="6618" spans="9:39" x14ac:dyDescent="0.3">
      <c r="I6618" s="12"/>
      <c r="N6618" s="12"/>
      <c r="S6618" s="12"/>
      <c r="X6618" s="12"/>
      <c r="AM6618" s="12"/>
    </row>
    <row r="6619" spans="9:39" x14ac:dyDescent="0.3">
      <c r="I6619" s="12"/>
      <c r="N6619" s="12"/>
      <c r="S6619" s="12"/>
      <c r="X6619" s="12"/>
      <c r="AM6619" s="12"/>
    </row>
    <row r="6620" spans="9:39" x14ac:dyDescent="0.3">
      <c r="I6620" s="12"/>
      <c r="N6620" s="12"/>
      <c r="S6620" s="12"/>
      <c r="X6620" s="12"/>
      <c r="AM6620" s="12"/>
    </row>
    <row r="6621" spans="9:39" x14ac:dyDescent="0.3">
      <c r="I6621" s="12"/>
      <c r="N6621" s="12"/>
      <c r="S6621" s="12"/>
      <c r="X6621" s="12"/>
      <c r="AM6621" s="12"/>
    </row>
    <row r="6622" spans="9:39" x14ac:dyDescent="0.3">
      <c r="I6622" s="12"/>
      <c r="N6622" s="12"/>
      <c r="S6622" s="12"/>
      <c r="X6622" s="12"/>
      <c r="AM6622" s="12"/>
    </row>
    <row r="6623" spans="9:39" x14ac:dyDescent="0.3">
      <c r="I6623" s="12"/>
      <c r="N6623" s="12"/>
      <c r="S6623" s="12"/>
      <c r="X6623" s="12"/>
      <c r="AM6623" s="12"/>
    </row>
    <row r="6624" spans="9:39" x14ac:dyDescent="0.3">
      <c r="I6624" s="12"/>
      <c r="N6624" s="12"/>
      <c r="S6624" s="12"/>
      <c r="X6624" s="12"/>
      <c r="AM6624" s="12"/>
    </row>
    <row r="6625" spans="9:39" x14ac:dyDescent="0.3">
      <c r="I6625" s="12"/>
      <c r="N6625" s="12"/>
      <c r="S6625" s="12"/>
      <c r="X6625" s="12"/>
      <c r="AM6625" s="12"/>
    </row>
    <row r="6626" spans="9:39" x14ac:dyDescent="0.3">
      <c r="I6626" s="12"/>
      <c r="N6626" s="12"/>
      <c r="S6626" s="12"/>
      <c r="X6626" s="12"/>
      <c r="AM6626" s="12"/>
    </row>
    <row r="6627" spans="9:39" x14ac:dyDescent="0.3">
      <c r="I6627" s="12"/>
      <c r="N6627" s="12"/>
      <c r="S6627" s="12"/>
      <c r="X6627" s="12"/>
      <c r="AM6627" s="12"/>
    </row>
    <row r="6628" spans="9:39" x14ac:dyDescent="0.3">
      <c r="I6628" s="12"/>
      <c r="N6628" s="12"/>
      <c r="S6628" s="12"/>
      <c r="X6628" s="12"/>
      <c r="AM6628" s="12"/>
    </row>
    <row r="6629" spans="9:39" x14ac:dyDescent="0.3">
      <c r="I6629" s="12"/>
      <c r="N6629" s="12"/>
      <c r="S6629" s="12"/>
      <c r="X6629" s="12"/>
      <c r="AM6629" s="12"/>
    </row>
    <row r="6630" spans="9:39" x14ac:dyDescent="0.3">
      <c r="I6630" s="12"/>
      <c r="N6630" s="12"/>
      <c r="S6630" s="12"/>
      <c r="X6630" s="12"/>
      <c r="AM6630" s="12"/>
    </row>
    <row r="6631" spans="9:39" x14ac:dyDescent="0.3">
      <c r="I6631" s="12"/>
      <c r="N6631" s="12"/>
      <c r="S6631" s="12"/>
      <c r="X6631" s="12"/>
      <c r="AM6631" s="12"/>
    </row>
    <row r="6632" spans="9:39" x14ac:dyDescent="0.3">
      <c r="I6632" s="12"/>
      <c r="N6632" s="12"/>
      <c r="S6632" s="12"/>
      <c r="X6632" s="12"/>
      <c r="AM6632" s="12"/>
    </row>
    <row r="6633" spans="9:39" x14ac:dyDescent="0.3">
      <c r="I6633" s="12"/>
      <c r="N6633" s="12"/>
      <c r="S6633" s="12"/>
      <c r="X6633" s="12"/>
      <c r="AM6633" s="12"/>
    </row>
    <row r="6634" spans="9:39" x14ac:dyDescent="0.3">
      <c r="I6634" s="12"/>
      <c r="N6634" s="12"/>
      <c r="S6634" s="12"/>
      <c r="X6634" s="12"/>
      <c r="AM6634" s="12"/>
    </row>
    <row r="6635" spans="9:39" x14ac:dyDescent="0.3">
      <c r="I6635" s="12"/>
      <c r="N6635" s="12"/>
      <c r="S6635" s="12"/>
      <c r="X6635" s="12"/>
      <c r="AM6635" s="12"/>
    </row>
    <row r="6636" spans="9:39" x14ac:dyDescent="0.3">
      <c r="I6636" s="12"/>
      <c r="N6636" s="12"/>
      <c r="S6636" s="12"/>
      <c r="X6636" s="12"/>
      <c r="AM6636" s="12"/>
    </row>
    <row r="6637" spans="9:39" x14ac:dyDescent="0.3">
      <c r="I6637" s="12"/>
      <c r="N6637" s="12"/>
      <c r="S6637" s="12"/>
      <c r="X6637" s="12"/>
      <c r="AM6637" s="12"/>
    </row>
    <row r="6638" spans="9:39" x14ac:dyDescent="0.3">
      <c r="I6638" s="12"/>
      <c r="N6638" s="12"/>
      <c r="S6638" s="12"/>
      <c r="X6638" s="12"/>
      <c r="AM6638" s="12"/>
    </row>
    <row r="6639" spans="9:39" x14ac:dyDescent="0.3">
      <c r="I6639" s="12"/>
      <c r="N6639" s="12"/>
      <c r="S6639" s="12"/>
      <c r="X6639" s="12"/>
      <c r="AM6639" s="12"/>
    </row>
    <row r="6640" spans="9:39" x14ac:dyDescent="0.3">
      <c r="I6640" s="12"/>
      <c r="N6640" s="12"/>
      <c r="S6640" s="12"/>
      <c r="X6640" s="12"/>
      <c r="AM6640" s="12"/>
    </row>
    <row r="6641" spans="9:39" x14ac:dyDescent="0.3">
      <c r="I6641" s="12"/>
      <c r="N6641" s="12"/>
      <c r="S6641" s="12"/>
      <c r="X6641" s="12"/>
      <c r="AM6641" s="12"/>
    </row>
    <row r="6642" spans="9:39" x14ac:dyDescent="0.3">
      <c r="I6642" s="12"/>
      <c r="N6642" s="12"/>
      <c r="S6642" s="12"/>
      <c r="X6642" s="12"/>
      <c r="AM6642" s="12"/>
    </row>
    <row r="6643" spans="9:39" x14ac:dyDescent="0.3">
      <c r="I6643" s="12"/>
      <c r="N6643" s="12"/>
      <c r="S6643" s="12"/>
      <c r="X6643" s="12"/>
      <c r="AM6643" s="12"/>
    </row>
    <row r="6644" spans="9:39" x14ac:dyDescent="0.3">
      <c r="I6644" s="12"/>
      <c r="N6644" s="12"/>
      <c r="S6644" s="12"/>
      <c r="X6644" s="12"/>
      <c r="AM6644" s="12"/>
    </row>
    <row r="6645" spans="9:39" x14ac:dyDescent="0.3">
      <c r="I6645" s="12"/>
      <c r="N6645" s="12"/>
      <c r="S6645" s="12"/>
      <c r="X6645" s="12"/>
      <c r="AM6645" s="12"/>
    </row>
    <row r="6646" spans="9:39" x14ac:dyDescent="0.3">
      <c r="I6646" s="12"/>
      <c r="N6646" s="12"/>
      <c r="S6646" s="12"/>
      <c r="X6646" s="12"/>
      <c r="AM6646" s="12"/>
    </row>
    <row r="6647" spans="9:39" x14ac:dyDescent="0.3">
      <c r="I6647" s="12"/>
      <c r="N6647" s="12"/>
      <c r="S6647" s="12"/>
      <c r="X6647" s="12"/>
      <c r="AM6647" s="12"/>
    </row>
    <row r="6648" spans="9:39" x14ac:dyDescent="0.3">
      <c r="I6648" s="12"/>
      <c r="N6648" s="12"/>
      <c r="S6648" s="12"/>
      <c r="X6648" s="12"/>
      <c r="AM6648" s="12"/>
    </row>
    <row r="6649" spans="9:39" x14ac:dyDescent="0.3">
      <c r="I6649" s="12"/>
      <c r="N6649" s="12"/>
      <c r="S6649" s="12"/>
      <c r="X6649" s="12"/>
      <c r="AM6649" s="12"/>
    </row>
    <row r="6650" spans="9:39" x14ac:dyDescent="0.3">
      <c r="I6650" s="12"/>
      <c r="N6650" s="12"/>
      <c r="S6650" s="12"/>
      <c r="X6650" s="12"/>
      <c r="AM6650" s="12"/>
    </row>
    <row r="6651" spans="9:39" x14ac:dyDescent="0.3">
      <c r="I6651" s="12"/>
      <c r="N6651" s="12"/>
      <c r="S6651" s="12"/>
      <c r="X6651" s="12"/>
      <c r="AM6651" s="12"/>
    </row>
    <row r="6652" spans="9:39" x14ac:dyDescent="0.3">
      <c r="I6652" s="12"/>
      <c r="N6652" s="12"/>
      <c r="S6652" s="12"/>
      <c r="X6652" s="12"/>
      <c r="AM6652" s="12"/>
    </row>
    <row r="6653" spans="9:39" x14ac:dyDescent="0.3">
      <c r="I6653" s="12"/>
      <c r="N6653" s="12"/>
      <c r="S6653" s="12"/>
      <c r="X6653" s="12"/>
      <c r="AM6653" s="12"/>
    </row>
    <row r="6654" spans="9:39" x14ac:dyDescent="0.3">
      <c r="I6654" s="12"/>
      <c r="N6654" s="12"/>
      <c r="S6654" s="12"/>
      <c r="X6654" s="12"/>
      <c r="AM6654" s="12"/>
    </row>
    <row r="6655" spans="9:39" x14ac:dyDescent="0.3">
      <c r="I6655" s="12"/>
      <c r="N6655" s="12"/>
      <c r="S6655" s="12"/>
      <c r="X6655" s="12"/>
      <c r="AM6655" s="12"/>
    </row>
    <row r="6656" spans="9:39" x14ac:dyDescent="0.3">
      <c r="I6656" s="12"/>
      <c r="N6656" s="12"/>
      <c r="S6656" s="12"/>
      <c r="X6656" s="12"/>
      <c r="AM6656" s="12"/>
    </row>
    <row r="6657" spans="9:39" x14ac:dyDescent="0.3">
      <c r="I6657" s="12"/>
      <c r="N6657" s="12"/>
      <c r="S6657" s="12"/>
      <c r="X6657" s="12"/>
      <c r="AM6657" s="12"/>
    </row>
    <row r="6658" spans="9:39" x14ac:dyDescent="0.3">
      <c r="I6658" s="12"/>
      <c r="N6658" s="12"/>
      <c r="S6658" s="12"/>
      <c r="X6658" s="12"/>
      <c r="AM6658" s="12"/>
    </row>
    <row r="6659" spans="9:39" x14ac:dyDescent="0.3">
      <c r="I6659" s="12"/>
      <c r="N6659" s="12"/>
      <c r="S6659" s="12"/>
      <c r="X6659" s="12"/>
      <c r="AM6659" s="12"/>
    </row>
    <row r="6660" spans="9:39" x14ac:dyDescent="0.3">
      <c r="I6660" s="12"/>
      <c r="N6660" s="12"/>
      <c r="S6660" s="12"/>
      <c r="X6660" s="12"/>
      <c r="AM6660" s="12"/>
    </row>
    <row r="6661" spans="9:39" x14ac:dyDescent="0.3">
      <c r="I6661" s="12"/>
      <c r="N6661" s="12"/>
      <c r="S6661" s="12"/>
      <c r="X6661" s="12"/>
      <c r="AM6661" s="12"/>
    </row>
    <row r="6662" spans="9:39" x14ac:dyDescent="0.3">
      <c r="I6662" s="12"/>
      <c r="N6662" s="12"/>
      <c r="S6662" s="12"/>
      <c r="X6662" s="12"/>
      <c r="AM6662" s="12"/>
    </row>
    <row r="6663" spans="9:39" x14ac:dyDescent="0.3">
      <c r="I6663" s="12"/>
      <c r="N6663" s="12"/>
      <c r="S6663" s="12"/>
      <c r="X6663" s="12"/>
      <c r="AM6663" s="12"/>
    </row>
    <row r="6664" spans="9:39" x14ac:dyDescent="0.3">
      <c r="I6664" s="12"/>
      <c r="N6664" s="12"/>
      <c r="S6664" s="12"/>
      <c r="X6664" s="12"/>
      <c r="AM6664" s="12"/>
    </row>
    <row r="6665" spans="9:39" x14ac:dyDescent="0.3">
      <c r="I6665" s="12"/>
      <c r="N6665" s="12"/>
      <c r="S6665" s="12"/>
      <c r="X6665" s="12"/>
      <c r="AM6665" s="12"/>
    </row>
    <row r="6666" spans="9:39" x14ac:dyDescent="0.3">
      <c r="I6666" s="12"/>
      <c r="N6666" s="12"/>
      <c r="S6666" s="12"/>
      <c r="X6666" s="12"/>
      <c r="AM6666" s="12"/>
    </row>
    <row r="6667" spans="9:39" x14ac:dyDescent="0.3">
      <c r="I6667" s="12"/>
      <c r="N6667" s="12"/>
      <c r="S6667" s="12"/>
      <c r="X6667" s="12"/>
      <c r="AM6667" s="12"/>
    </row>
    <row r="6668" spans="9:39" x14ac:dyDescent="0.3">
      <c r="I6668" s="12"/>
      <c r="N6668" s="12"/>
      <c r="S6668" s="12"/>
      <c r="X6668" s="12"/>
      <c r="AM6668" s="12"/>
    </row>
    <row r="6669" spans="9:39" x14ac:dyDescent="0.3">
      <c r="I6669" s="12"/>
      <c r="N6669" s="12"/>
      <c r="S6669" s="12"/>
      <c r="X6669" s="12"/>
      <c r="AM6669" s="12"/>
    </row>
    <row r="6670" spans="9:39" x14ac:dyDescent="0.3">
      <c r="I6670" s="12"/>
      <c r="N6670" s="12"/>
      <c r="S6670" s="12"/>
      <c r="X6670" s="12"/>
      <c r="AM6670" s="12"/>
    </row>
    <row r="6671" spans="9:39" x14ac:dyDescent="0.3">
      <c r="I6671" s="12"/>
      <c r="N6671" s="12"/>
      <c r="S6671" s="12"/>
      <c r="X6671" s="12"/>
      <c r="AM6671" s="12"/>
    </row>
    <row r="6672" spans="9:39" x14ac:dyDescent="0.3">
      <c r="I6672" s="12"/>
      <c r="N6672" s="12"/>
      <c r="S6672" s="12"/>
      <c r="X6672" s="12"/>
      <c r="AM6672" s="12"/>
    </row>
    <row r="6673" spans="9:39" x14ac:dyDescent="0.3">
      <c r="I6673" s="12"/>
      <c r="N6673" s="12"/>
      <c r="S6673" s="12"/>
      <c r="X6673" s="12"/>
      <c r="AM6673" s="12"/>
    </row>
    <row r="6674" spans="9:39" x14ac:dyDescent="0.3">
      <c r="I6674" s="12"/>
      <c r="N6674" s="12"/>
      <c r="S6674" s="12"/>
      <c r="X6674" s="12"/>
      <c r="AM6674" s="12"/>
    </row>
    <row r="6675" spans="9:39" x14ac:dyDescent="0.3">
      <c r="I6675" s="12"/>
      <c r="N6675" s="12"/>
      <c r="S6675" s="12"/>
      <c r="X6675" s="12"/>
      <c r="AM6675" s="12"/>
    </row>
    <row r="6676" spans="9:39" x14ac:dyDescent="0.3">
      <c r="I6676" s="12"/>
      <c r="N6676" s="12"/>
      <c r="S6676" s="12"/>
      <c r="X6676" s="12"/>
      <c r="AM6676" s="12"/>
    </row>
    <row r="6677" spans="9:39" x14ac:dyDescent="0.3">
      <c r="I6677" s="12"/>
      <c r="N6677" s="12"/>
      <c r="S6677" s="12"/>
      <c r="X6677" s="12"/>
      <c r="AM6677" s="12"/>
    </row>
    <row r="6678" spans="9:39" x14ac:dyDescent="0.3">
      <c r="I6678" s="12"/>
      <c r="N6678" s="12"/>
      <c r="S6678" s="12"/>
      <c r="X6678" s="12"/>
      <c r="AM6678" s="12"/>
    </row>
    <row r="6679" spans="9:39" x14ac:dyDescent="0.3">
      <c r="I6679" s="12"/>
      <c r="N6679" s="12"/>
      <c r="S6679" s="12"/>
      <c r="X6679" s="12"/>
      <c r="AM6679" s="12"/>
    </row>
    <row r="6680" spans="9:39" x14ac:dyDescent="0.3">
      <c r="I6680" s="12"/>
      <c r="N6680" s="12"/>
      <c r="S6680" s="12"/>
      <c r="X6680" s="12"/>
      <c r="AM6680" s="12"/>
    </row>
    <row r="6681" spans="9:39" x14ac:dyDescent="0.3">
      <c r="I6681" s="12"/>
      <c r="N6681" s="12"/>
      <c r="S6681" s="12"/>
      <c r="X6681" s="12"/>
      <c r="AM6681" s="12"/>
    </row>
    <row r="6682" spans="9:39" x14ac:dyDescent="0.3">
      <c r="I6682" s="12"/>
      <c r="N6682" s="12"/>
      <c r="S6682" s="12"/>
      <c r="X6682" s="12"/>
      <c r="AM6682" s="12"/>
    </row>
    <row r="6683" spans="9:39" x14ac:dyDescent="0.3">
      <c r="I6683" s="12"/>
      <c r="N6683" s="12"/>
      <c r="S6683" s="12"/>
      <c r="X6683" s="12"/>
      <c r="AM6683" s="12"/>
    </row>
    <row r="6684" spans="9:39" x14ac:dyDescent="0.3">
      <c r="I6684" s="12"/>
      <c r="N6684" s="12"/>
      <c r="S6684" s="12"/>
      <c r="X6684" s="12"/>
      <c r="AM6684" s="12"/>
    </row>
    <row r="6685" spans="9:39" x14ac:dyDescent="0.3">
      <c r="I6685" s="12"/>
      <c r="N6685" s="12"/>
      <c r="S6685" s="12"/>
      <c r="X6685" s="12"/>
      <c r="AM6685" s="12"/>
    </row>
    <row r="6686" spans="9:39" x14ac:dyDescent="0.3">
      <c r="I6686" s="12"/>
      <c r="N6686" s="12"/>
      <c r="S6686" s="12"/>
      <c r="X6686" s="12"/>
      <c r="AM6686" s="12"/>
    </row>
    <row r="6687" spans="9:39" x14ac:dyDescent="0.3">
      <c r="I6687" s="12"/>
      <c r="N6687" s="12"/>
      <c r="S6687" s="12"/>
      <c r="X6687" s="12"/>
      <c r="AM6687" s="12"/>
    </row>
    <row r="6688" spans="9:39" x14ac:dyDescent="0.3">
      <c r="I6688" s="12"/>
      <c r="N6688" s="12"/>
      <c r="S6688" s="12"/>
      <c r="X6688" s="12"/>
      <c r="AM6688" s="12"/>
    </row>
    <row r="6689" spans="9:39" x14ac:dyDescent="0.3">
      <c r="I6689" s="12"/>
      <c r="N6689" s="12"/>
      <c r="S6689" s="12"/>
      <c r="X6689" s="12"/>
      <c r="AM6689" s="12"/>
    </row>
    <row r="6690" spans="9:39" x14ac:dyDescent="0.3">
      <c r="I6690" s="12"/>
      <c r="N6690" s="12"/>
      <c r="S6690" s="12"/>
      <c r="X6690" s="12"/>
      <c r="AM6690" s="12"/>
    </row>
    <row r="6691" spans="9:39" x14ac:dyDescent="0.3">
      <c r="I6691" s="12"/>
      <c r="N6691" s="12"/>
      <c r="S6691" s="12"/>
      <c r="X6691" s="12"/>
      <c r="AM6691" s="12"/>
    </row>
    <row r="6692" spans="9:39" x14ac:dyDescent="0.3">
      <c r="I6692" s="12"/>
      <c r="N6692" s="12"/>
      <c r="S6692" s="12"/>
      <c r="X6692" s="12"/>
      <c r="AM6692" s="12"/>
    </row>
    <row r="6693" spans="9:39" x14ac:dyDescent="0.3">
      <c r="I6693" s="12"/>
      <c r="N6693" s="12"/>
      <c r="S6693" s="12"/>
      <c r="X6693" s="12"/>
      <c r="AM6693" s="12"/>
    </row>
    <row r="6694" spans="9:39" x14ac:dyDescent="0.3">
      <c r="I6694" s="12"/>
      <c r="N6694" s="12"/>
      <c r="S6694" s="12"/>
      <c r="X6694" s="12"/>
      <c r="AM6694" s="12"/>
    </row>
    <row r="6695" spans="9:39" x14ac:dyDescent="0.3">
      <c r="I6695" s="12"/>
      <c r="N6695" s="12"/>
      <c r="S6695" s="12"/>
      <c r="X6695" s="12"/>
      <c r="AM6695" s="12"/>
    </row>
    <row r="6696" spans="9:39" x14ac:dyDescent="0.3">
      <c r="I6696" s="12"/>
      <c r="N6696" s="12"/>
      <c r="S6696" s="12"/>
      <c r="X6696" s="12"/>
      <c r="AM6696" s="12"/>
    </row>
    <row r="6697" spans="9:39" x14ac:dyDescent="0.3">
      <c r="I6697" s="12"/>
      <c r="N6697" s="12"/>
      <c r="S6697" s="12"/>
      <c r="X6697" s="12"/>
      <c r="AM6697" s="12"/>
    </row>
    <row r="6698" spans="9:39" x14ac:dyDescent="0.3">
      <c r="I6698" s="12"/>
      <c r="N6698" s="12"/>
      <c r="S6698" s="12"/>
      <c r="X6698" s="12"/>
      <c r="AM6698" s="12"/>
    </row>
    <row r="6699" spans="9:39" x14ac:dyDescent="0.3">
      <c r="I6699" s="12"/>
      <c r="N6699" s="12"/>
      <c r="S6699" s="12"/>
      <c r="X6699" s="12"/>
      <c r="AM6699" s="12"/>
    </row>
    <row r="6700" spans="9:39" x14ac:dyDescent="0.3">
      <c r="I6700" s="12"/>
      <c r="N6700" s="12"/>
      <c r="S6700" s="12"/>
      <c r="X6700" s="12"/>
      <c r="AM6700" s="12"/>
    </row>
    <row r="6701" spans="9:39" x14ac:dyDescent="0.3">
      <c r="I6701" s="12"/>
      <c r="N6701" s="12"/>
      <c r="S6701" s="12"/>
      <c r="X6701" s="12"/>
      <c r="AM6701" s="12"/>
    </row>
    <row r="6702" spans="9:39" x14ac:dyDescent="0.3">
      <c r="I6702" s="12"/>
      <c r="N6702" s="12"/>
      <c r="S6702" s="12"/>
      <c r="X6702" s="12"/>
      <c r="AM6702" s="12"/>
    </row>
    <row r="6703" spans="9:39" x14ac:dyDescent="0.3">
      <c r="I6703" s="12"/>
      <c r="N6703" s="12"/>
      <c r="S6703" s="12"/>
      <c r="X6703" s="12"/>
      <c r="AM6703" s="12"/>
    </row>
    <row r="6704" spans="9:39" x14ac:dyDescent="0.3">
      <c r="I6704" s="12"/>
      <c r="N6704" s="12"/>
      <c r="S6704" s="12"/>
      <c r="X6704" s="12"/>
      <c r="AM6704" s="12"/>
    </row>
    <row r="6705" spans="9:39" x14ac:dyDescent="0.3">
      <c r="I6705" s="12"/>
      <c r="N6705" s="12"/>
      <c r="S6705" s="12"/>
      <c r="X6705" s="12"/>
      <c r="AM6705" s="12"/>
    </row>
    <row r="6706" spans="9:39" x14ac:dyDescent="0.3">
      <c r="I6706" s="12"/>
      <c r="N6706" s="12"/>
      <c r="S6706" s="12"/>
      <c r="X6706" s="12"/>
      <c r="AM6706" s="12"/>
    </row>
    <row r="6707" spans="9:39" x14ac:dyDescent="0.3">
      <c r="I6707" s="12"/>
      <c r="N6707" s="12"/>
      <c r="S6707" s="12"/>
      <c r="X6707" s="12"/>
      <c r="AM6707" s="12"/>
    </row>
    <row r="6708" spans="9:39" x14ac:dyDescent="0.3">
      <c r="I6708" s="12"/>
      <c r="N6708" s="12"/>
      <c r="S6708" s="12"/>
      <c r="X6708" s="12"/>
      <c r="AM6708" s="12"/>
    </row>
    <row r="6709" spans="9:39" x14ac:dyDescent="0.3">
      <c r="I6709" s="12"/>
      <c r="N6709" s="12"/>
      <c r="S6709" s="12"/>
      <c r="X6709" s="12"/>
      <c r="AM6709" s="12"/>
    </row>
    <row r="6710" spans="9:39" x14ac:dyDescent="0.3">
      <c r="I6710" s="12"/>
      <c r="N6710" s="12"/>
      <c r="S6710" s="12"/>
      <c r="X6710" s="12"/>
      <c r="AM6710" s="12"/>
    </row>
    <row r="6711" spans="9:39" x14ac:dyDescent="0.3">
      <c r="I6711" s="12"/>
      <c r="N6711" s="12"/>
      <c r="S6711" s="12"/>
      <c r="X6711" s="12"/>
      <c r="AM6711" s="12"/>
    </row>
    <row r="6712" spans="9:39" x14ac:dyDescent="0.3">
      <c r="I6712" s="12"/>
      <c r="N6712" s="12"/>
      <c r="S6712" s="12"/>
      <c r="X6712" s="12"/>
      <c r="AM6712" s="12"/>
    </row>
    <row r="6713" spans="9:39" x14ac:dyDescent="0.3">
      <c r="I6713" s="12"/>
      <c r="N6713" s="12"/>
      <c r="S6713" s="12"/>
      <c r="X6713" s="12"/>
      <c r="AM6713" s="12"/>
    </row>
    <row r="6714" spans="9:39" x14ac:dyDescent="0.3">
      <c r="I6714" s="12"/>
      <c r="N6714" s="12"/>
      <c r="S6714" s="12"/>
      <c r="X6714" s="12"/>
      <c r="AM6714" s="12"/>
    </row>
    <row r="6715" spans="9:39" x14ac:dyDescent="0.3">
      <c r="I6715" s="12"/>
      <c r="N6715" s="12"/>
      <c r="S6715" s="12"/>
      <c r="X6715" s="12"/>
      <c r="AM6715" s="12"/>
    </row>
    <row r="6716" spans="9:39" x14ac:dyDescent="0.3">
      <c r="I6716" s="12"/>
      <c r="N6716" s="12"/>
      <c r="S6716" s="12"/>
      <c r="X6716" s="12"/>
      <c r="AM6716" s="12"/>
    </row>
    <row r="6717" spans="9:39" x14ac:dyDescent="0.3">
      <c r="I6717" s="12"/>
      <c r="N6717" s="12"/>
      <c r="S6717" s="12"/>
      <c r="X6717" s="12"/>
      <c r="AM6717" s="12"/>
    </row>
    <row r="6718" spans="9:39" x14ac:dyDescent="0.3">
      <c r="I6718" s="12"/>
      <c r="N6718" s="12"/>
      <c r="S6718" s="12"/>
      <c r="X6718" s="12"/>
      <c r="AM6718" s="12"/>
    </row>
    <row r="6719" spans="9:39" x14ac:dyDescent="0.3">
      <c r="I6719" s="12"/>
      <c r="N6719" s="12"/>
      <c r="S6719" s="12"/>
      <c r="X6719" s="12"/>
      <c r="AM6719" s="12"/>
    </row>
    <row r="6720" spans="9:39" x14ac:dyDescent="0.3">
      <c r="I6720" s="12"/>
      <c r="N6720" s="12"/>
      <c r="S6720" s="12"/>
      <c r="X6720" s="12"/>
      <c r="AM6720" s="12"/>
    </row>
    <row r="6721" spans="9:39" x14ac:dyDescent="0.3">
      <c r="I6721" s="12"/>
      <c r="N6721" s="12"/>
      <c r="S6721" s="12"/>
      <c r="X6721" s="12"/>
      <c r="AM6721" s="12"/>
    </row>
    <row r="6722" spans="9:39" x14ac:dyDescent="0.3">
      <c r="I6722" s="12"/>
      <c r="N6722" s="12"/>
      <c r="S6722" s="12"/>
      <c r="X6722" s="12"/>
      <c r="AM6722" s="12"/>
    </row>
    <row r="6723" spans="9:39" x14ac:dyDescent="0.3">
      <c r="I6723" s="12"/>
      <c r="N6723" s="12"/>
      <c r="S6723" s="12"/>
      <c r="X6723" s="12"/>
      <c r="AM6723" s="12"/>
    </row>
    <row r="6724" spans="9:39" x14ac:dyDescent="0.3">
      <c r="I6724" s="12"/>
      <c r="N6724" s="12"/>
      <c r="S6724" s="12"/>
      <c r="X6724" s="12"/>
      <c r="AM6724" s="12"/>
    </row>
    <row r="6725" spans="9:39" x14ac:dyDescent="0.3">
      <c r="I6725" s="12"/>
      <c r="N6725" s="12"/>
      <c r="S6725" s="12"/>
      <c r="X6725" s="12"/>
      <c r="AM6725" s="12"/>
    </row>
    <row r="6726" spans="9:39" x14ac:dyDescent="0.3">
      <c r="I6726" s="12"/>
      <c r="N6726" s="12"/>
      <c r="S6726" s="12"/>
      <c r="X6726" s="12"/>
      <c r="AM6726" s="12"/>
    </row>
    <row r="6727" spans="9:39" x14ac:dyDescent="0.3">
      <c r="I6727" s="12"/>
      <c r="N6727" s="12"/>
      <c r="S6727" s="12"/>
      <c r="X6727" s="12"/>
      <c r="AM6727" s="12"/>
    </row>
    <row r="6728" spans="9:39" x14ac:dyDescent="0.3">
      <c r="I6728" s="12"/>
      <c r="N6728" s="12"/>
      <c r="S6728" s="12"/>
      <c r="X6728" s="12"/>
      <c r="AM6728" s="12"/>
    </row>
    <row r="6729" spans="9:39" x14ac:dyDescent="0.3">
      <c r="I6729" s="12"/>
      <c r="N6729" s="12"/>
      <c r="S6729" s="12"/>
      <c r="X6729" s="12"/>
      <c r="AM6729" s="12"/>
    </row>
    <row r="6730" spans="9:39" x14ac:dyDescent="0.3">
      <c r="I6730" s="12"/>
      <c r="N6730" s="12"/>
      <c r="S6730" s="12"/>
      <c r="X6730" s="12"/>
      <c r="AM6730" s="12"/>
    </row>
    <row r="6731" spans="9:39" x14ac:dyDescent="0.3">
      <c r="I6731" s="12"/>
      <c r="N6731" s="12"/>
      <c r="S6731" s="12"/>
      <c r="X6731" s="12"/>
      <c r="AM6731" s="12"/>
    </row>
    <row r="6732" spans="9:39" x14ac:dyDescent="0.3">
      <c r="I6732" s="12"/>
      <c r="N6732" s="12"/>
      <c r="S6732" s="12"/>
      <c r="X6732" s="12"/>
      <c r="AM6732" s="12"/>
    </row>
    <row r="6733" spans="9:39" x14ac:dyDescent="0.3">
      <c r="I6733" s="12"/>
      <c r="N6733" s="12"/>
      <c r="S6733" s="12"/>
      <c r="X6733" s="12"/>
      <c r="AM6733" s="12"/>
    </row>
    <row r="6734" spans="9:39" x14ac:dyDescent="0.3">
      <c r="I6734" s="12"/>
      <c r="N6734" s="12"/>
      <c r="S6734" s="12"/>
      <c r="X6734" s="12"/>
      <c r="AM6734" s="12"/>
    </row>
    <row r="6735" spans="9:39" x14ac:dyDescent="0.3">
      <c r="I6735" s="12"/>
      <c r="N6735" s="12"/>
      <c r="S6735" s="12"/>
      <c r="X6735" s="12"/>
      <c r="AM6735" s="12"/>
    </row>
    <row r="6736" spans="9:39" x14ac:dyDescent="0.3">
      <c r="I6736" s="12"/>
      <c r="N6736" s="12"/>
      <c r="S6736" s="12"/>
      <c r="X6736" s="12"/>
      <c r="AM6736" s="12"/>
    </row>
    <row r="6737" spans="9:39" x14ac:dyDescent="0.3">
      <c r="I6737" s="12"/>
      <c r="N6737" s="12"/>
      <c r="S6737" s="12"/>
      <c r="X6737" s="12"/>
      <c r="AM6737" s="12"/>
    </row>
    <row r="6738" spans="9:39" x14ac:dyDescent="0.3">
      <c r="I6738" s="12"/>
      <c r="N6738" s="12"/>
      <c r="S6738" s="12"/>
      <c r="X6738" s="12"/>
      <c r="AM6738" s="12"/>
    </row>
    <row r="6739" spans="9:39" x14ac:dyDescent="0.3">
      <c r="I6739" s="12"/>
      <c r="N6739" s="12"/>
      <c r="S6739" s="12"/>
      <c r="X6739" s="12"/>
      <c r="AM6739" s="12"/>
    </row>
    <row r="6740" spans="9:39" x14ac:dyDescent="0.3">
      <c r="I6740" s="12"/>
      <c r="N6740" s="12"/>
      <c r="S6740" s="12"/>
      <c r="X6740" s="12"/>
      <c r="AM6740" s="12"/>
    </row>
    <row r="6741" spans="9:39" x14ac:dyDescent="0.3">
      <c r="I6741" s="12"/>
      <c r="N6741" s="12"/>
      <c r="S6741" s="12"/>
      <c r="X6741" s="12"/>
      <c r="AM6741" s="12"/>
    </row>
    <row r="6742" spans="9:39" x14ac:dyDescent="0.3">
      <c r="I6742" s="12"/>
      <c r="N6742" s="12"/>
      <c r="S6742" s="12"/>
      <c r="X6742" s="12"/>
      <c r="AM6742" s="12"/>
    </row>
    <row r="6743" spans="9:39" x14ac:dyDescent="0.3">
      <c r="I6743" s="12"/>
      <c r="N6743" s="12"/>
      <c r="S6743" s="12"/>
      <c r="X6743" s="12"/>
      <c r="AM6743" s="12"/>
    </row>
    <row r="6744" spans="9:39" x14ac:dyDescent="0.3">
      <c r="I6744" s="12"/>
      <c r="N6744" s="12"/>
      <c r="S6744" s="12"/>
      <c r="X6744" s="12"/>
      <c r="AM6744" s="12"/>
    </row>
    <row r="6745" spans="9:39" x14ac:dyDescent="0.3">
      <c r="I6745" s="12"/>
      <c r="N6745" s="12"/>
      <c r="S6745" s="12"/>
      <c r="X6745" s="12"/>
      <c r="AM6745" s="12"/>
    </row>
    <row r="6746" spans="9:39" x14ac:dyDescent="0.3">
      <c r="I6746" s="12"/>
      <c r="N6746" s="12"/>
      <c r="S6746" s="12"/>
      <c r="X6746" s="12"/>
      <c r="AM6746" s="12"/>
    </row>
    <row r="6747" spans="9:39" x14ac:dyDescent="0.3">
      <c r="I6747" s="12"/>
      <c r="N6747" s="12"/>
      <c r="S6747" s="12"/>
      <c r="X6747" s="12"/>
      <c r="AM6747" s="12"/>
    </row>
    <row r="6748" spans="9:39" x14ac:dyDescent="0.3">
      <c r="I6748" s="12"/>
      <c r="N6748" s="12"/>
      <c r="S6748" s="12"/>
      <c r="X6748" s="12"/>
      <c r="AM6748" s="12"/>
    </row>
    <row r="6749" spans="9:39" x14ac:dyDescent="0.3">
      <c r="I6749" s="12"/>
      <c r="N6749" s="12"/>
      <c r="S6749" s="12"/>
      <c r="X6749" s="12"/>
      <c r="AM6749" s="12"/>
    </row>
    <row r="6750" spans="9:39" x14ac:dyDescent="0.3">
      <c r="I6750" s="12"/>
      <c r="N6750" s="12"/>
      <c r="S6750" s="12"/>
      <c r="X6750" s="12"/>
      <c r="AM6750" s="12"/>
    </row>
    <row r="6751" spans="9:39" x14ac:dyDescent="0.3">
      <c r="I6751" s="12"/>
      <c r="N6751" s="12"/>
      <c r="S6751" s="12"/>
      <c r="X6751" s="12"/>
      <c r="AM6751" s="12"/>
    </row>
    <row r="6752" spans="9:39" x14ac:dyDescent="0.3">
      <c r="I6752" s="12"/>
      <c r="N6752" s="12"/>
      <c r="S6752" s="12"/>
      <c r="X6752" s="12"/>
      <c r="AM6752" s="12"/>
    </row>
    <row r="6753" spans="9:39" x14ac:dyDescent="0.3">
      <c r="I6753" s="12"/>
      <c r="N6753" s="12"/>
      <c r="S6753" s="12"/>
      <c r="X6753" s="12"/>
      <c r="AM6753" s="12"/>
    </row>
    <row r="6754" spans="9:39" x14ac:dyDescent="0.3">
      <c r="I6754" s="12"/>
      <c r="N6754" s="12"/>
      <c r="S6754" s="12"/>
      <c r="X6754" s="12"/>
      <c r="AM6754" s="12"/>
    </row>
    <row r="6755" spans="9:39" x14ac:dyDescent="0.3">
      <c r="I6755" s="12"/>
      <c r="N6755" s="12"/>
      <c r="S6755" s="12"/>
      <c r="X6755" s="12"/>
      <c r="AM6755" s="12"/>
    </row>
    <row r="6756" spans="9:39" x14ac:dyDescent="0.3">
      <c r="I6756" s="12"/>
      <c r="N6756" s="12"/>
      <c r="S6756" s="12"/>
      <c r="X6756" s="12"/>
      <c r="AM6756" s="12"/>
    </row>
    <row r="6757" spans="9:39" x14ac:dyDescent="0.3">
      <c r="I6757" s="12"/>
      <c r="N6757" s="12"/>
      <c r="S6757" s="12"/>
      <c r="X6757" s="12"/>
      <c r="AM6757" s="12"/>
    </row>
    <row r="6758" spans="9:39" x14ac:dyDescent="0.3">
      <c r="I6758" s="12"/>
      <c r="N6758" s="12"/>
      <c r="S6758" s="12"/>
      <c r="X6758" s="12"/>
      <c r="AM6758" s="12"/>
    </row>
    <row r="6759" spans="9:39" x14ac:dyDescent="0.3">
      <c r="I6759" s="12"/>
      <c r="N6759" s="12"/>
      <c r="S6759" s="12"/>
      <c r="X6759" s="12"/>
      <c r="AM6759" s="12"/>
    </row>
    <row r="6760" spans="9:39" x14ac:dyDescent="0.3">
      <c r="I6760" s="12"/>
      <c r="N6760" s="12"/>
      <c r="S6760" s="12"/>
      <c r="X6760" s="12"/>
      <c r="AM6760" s="12"/>
    </row>
    <row r="6761" spans="9:39" x14ac:dyDescent="0.3">
      <c r="I6761" s="12"/>
      <c r="N6761" s="12"/>
      <c r="S6761" s="12"/>
      <c r="X6761" s="12"/>
      <c r="AM6761" s="12"/>
    </row>
    <row r="6762" spans="9:39" x14ac:dyDescent="0.3">
      <c r="I6762" s="12"/>
      <c r="N6762" s="12"/>
      <c r="S6762" s="12"/>
      <c r="X6762" s="12"/>
      <c r="AM6762" s="12"/>
    </row>
    <row r="6763" spans="9:39" x14ac:dyDescent="0.3">
      <c r="I6763" s="12"/>
      <c r="N6763" s="12"/>
      <c r="S6763" s="12"/>
      <c r="X6763" s="12"/>
      <c r="AM6763" s="12"/>
    </row>
    <row r="6764" spans="9:39" x14ac:dyDescent="0.3">
      <c r="I6764" s="12"/>
      <c r="N6764" s="12"/>
      <c r="S6764" s="12"/>
      <c r="X6764" s="12"/>
      <c r="AM6764" s="12"/>
    </row>
    <row r="6765" spans="9:39" x14ac:dyDescent="0.3">
      <c r="I6765" s="12"/>
      <c r="N6765" s="12"/>
      <c r="S6765" s="12"/>
      <c r="X6765" s="12"/>
      <c r="AM6765" s="12"/>
    </row>
    <row r="6766" spans="9:39" x14ac:dyDescent="0.3">
      <c r="I6766" s="12"/>
      <c r="N6766" s="12"/>
      <c r="S6766" s="12"/>
      <c r="X6766" s="12"/>
      <c r="AM6766" s="12"/>
    </row>
    <row r="6767" spans="9:39" x14ac:dyDescent="0.3">
      <c r="I6767" s="12"/>
      <c r="N6767" s="12"/>
      <c r="S6767" s="12"/>
      <c r="X6767" s="12"/>
      <c r="AM6767" s="12"/>
    </row>
    <row r="6768" spans="9:39" x14ac:dyDescent="0.3">
      <c r="I6768" s="12"/>
      <c r="N6768" s="12"/>
      <c r="S6768" s="12"/>
      <c r="X6768" s="12"/>
      <c r="AM6768" s="12"/>
    </row>
    <row r="6769" spans="9:39" x14ac:dyDescent="0.3">
      <c r="I6769" s="12"/>
      <c r="N6769" s="12"/>
      <c r="S6769" s="12"/>
      <c r="X6769" s="12"/>
      <c r="AM6769" s="12"/>
    </row>
    <row r="6770" spans="9:39" x14ac:dyDescent="0.3">
      <c r="I6770" s="12"/>
      <c r="N6770" s="12"/>
      <c r="S6770" s="12"/>
      <c r="X6770" s="12"/>
      <c r="AM6770" s="12"/>
    </row>
    <row r="6771" spans="9:39" x14ac:dyDescent="0.3">
      <c r="I6771" s="12"/>
      <c r="N6771" s="12"/>
      <c r="S6771" s="12"/>
      <c r="X6771" s="12"/>
      <c r="AM6771" s="12"/>
    </row>
    <row r="6772" spans="9:39" x14ac:dyDescent="0.3">
      <c r="I6772" s="12"/>
      <c r="N6772" s="12"/>
      <c r="S6772" s="12"/>
      <c r="X6772" s="12"/>
      <c r="AM6772" s="12"/>
    </row>
    <row r="6773" spans="9:39" x14ac:dyDescent="0.3">
      <c r="I6773" s="12"/>
      <c r="N6773" s="12"/>
      <c r="S6773" s="12"/>
      <c r="X6773" s="12"/>
      <c r="AM6773" s="12"/>
    </row>
    <row r="6774" spans="9:39" x14ac:dyDescent="0.3">
      <c r="I6774" s="12"/>
      <c r="N6774" s="12"/>
      <c r="S6774" s="12"/>
      <c r="X6774" s="12"/>
      <c r="AM6774" s="12"/>
    </row>
    <row r="6775" spans="9:39" x14ac:dyDescent="0.3">
      <c r="I6775" s="12"/>
      <c r="N6775" s="12"/>
      <c r="S6775" s="12"/>
      <c r="X6775" s="12"/>
      <c r="AM6775" s="12"/>
    </row>
    <row r="6776" spans="9:39" x14ac:dyDescent="0.3">
      <c r="I6776" s="12"/>
      <c r="N6776" s="12"/>
      <c r="S6776" s="12"/>
      <c r="X6776" s="12"/>
      <c r="AM6776" s="12"/>
    </row>
    <row r="6777" spans="9:39" x14ac:dyDescent="0.3">
      <c r="I6777" s="12"/>
      <c r="N6777" s="12"/>
      <c r="S6777" s="12"/>
      <c r="X6777" s="12"/>
      <c r="AM6777" s="12"/>
    </row>
    <row r="6778" spans="9:39" x14ac:dyDescent="0.3">
      <c r="I6778" s="12"/>
      <c r="N6778" s="12"/>
      <c r="S6778" s="12"/>
      <c r="X6778" s="12"/>
      <c r="AM6778" s="12"/>
    </row>
    <row r="6779" spans="9:39" x14ac:dyDescent="0.3">
      <c r="I6779" s="12"/>
      <c r="N6779" s="12"/>
      <c r="S6779" s="12"/>
      <c r="X6779" s="12"/>
      <c r="AM6779" s="12"/>
    </row>
    <row r="6780" spans="9:39" x14ac:dyDescent="0.3">
      <c r="I6780" s="12"/>
      <c r="N6780" s="12"/>
      <c r="S6780" s="12"/>
      <c r="X6780" s="12"/>
      <c r="AM6780" s="12"/>
    </row>
    <row r="6781" spans="9:39" x14ac:dyDescent="0.3">
      <c r="I6781" s="12"/>
      <c r="N6781" s="12"/>
      <c r="S6781" s="12"/>
      <c r="X6781" s="12"/>
      <c r="AM6781" s="12"/>
    </row>
    <row r="6782" spans="9:39" x14ac:dyDescent="0.3">
      <c r="I6782" s="12"/>
      <c r="N6782" s="12"/>
      <c r="S6782" s="12"/>
      <c r="X6782" s="12"/>
      <c r="AM6782" s="12"/>
    </row>
    <row r="6783" spans="9:39" x14ac:dyDescent="0.3">
      <c r="I6783" s="12"/>
      <c r="N6783" s="12"/>
      <c r="S6783" s="12"/>
      <c r="X6783" s="12"/>
      <c r="AM6783" s="12"/>
    </row>
    <row r="6784" spans="9:39" x14ac:dyDescent="0.3">
      <c r="I6784" s="12"/>
      <c r="N6784" s="12"/>
      <c r="S6784" s="12"/>
      <c r="X6784" s="12"/>
      <c r="AM6784" s="12"/>
    </row>
    <row r="6785" spans="9:39" x14ac:dyDescent="0.3">
      <c r="I6785" s="12"/>
      <c r="N6785" s="12"/>
      <c r="S6785" s="12"/>
      <c r="X6785" s="12"/>
      <c r="AM6785" s="12"/>
    </row>
    <row r="6786" spans="9:39" x14ac:dyDescent="0.3">
      <c r="I6786" s="12"/>
      <c r="N6786" s="12"/>
      <c r="S6786" s="12"/>
      <c r="X6786" s="12"/>
      <c r="AM6786" s="12"/>
    </row>
    <row r="6787" spans="9:39" x14ac:dyDescent="0.3">
      <c r="I6787" s="12"/>
      <c r="N6787" s="12"/>
      <c r="S6787" s="12"/>
      <c r="X6787" s="12"/>
      <c r="AM6787" s="12"/>
    </row>
    <row r="6788" spans="9:39" x14ac:dyDescent="0.3">
      <c r="I6788" s="12"/>
      <c r="N6788" s="12"/>
      <c r="S6788" s="12"/>
      <c r="X6788" s="12"/>
      <c r="AM6788" s="12"/>
    </row>
    <row r="6789" spans="9:39" x14ac:dyDescent="0.3">
      <c r="I6789" s="12"/>
      <c r="N6789" s="12"/>
      <c r="S6789" s="12"/>
      <c r="X6789" s="12"/>
      <c r="AM6789" s="12"/>
    </row>
    <row r="6790" spans="9:39" x14ac:dyDescent="0.3">
      <c r="I6790" s="12"/>
      <c r="N6790" s="12"/>
      <c r="S6790" s="12"/>
      <c r="X6790" s="12"/>
      <c r="AM6790" s="12"/>
    </row>
    <row r="6791" spans="9:39" x14ac:dyDescent="0.3">
      <c r="I6791" s="12"/>
      <c r="N6791" s="12"/>
      <c r="S6791" s="12"/>
      <c r="X6791" s="12"/>
      <c r="AM6791" s="12"/>
    </row>
    <row r="6792" spans="9:39" x14ac:dyDescent="0.3">
      <c r="I6792" s="12"/>
      <c r="N6792" s="12"/>
      <c r="S6792" s="12"/>
      <c r="X6792" s="12"/>
      <c r="AM6792" s="12"/>
    </row>
    <row r="6793" spans="9:39" x14ac:dyDescent="0.3">
      <c r="I6793" s="12"/>
      <c r="N6793" s="12"/>
      <c r="S6793" s="12"/>
      <c r="X6793" s="12"/>
      <c r="AM6793" s="12"/>
    </row>
    <row r="6794" spans="9:39" x14ac:dyDescent="0.3">
      <c r="I6794" s="12"/>
      <c r="N6794" s="12"/>
      <c r="S6794" s="12"/>
      <c r="X6794" s="12"/>
      <c r="AM6794" s="12"/>
    </row>
    <row r="6795" spans="9:39" x14ac:dyDescent="0.3">
      <c r="I6795" s="12"/>
      <c r="N6795" s="12"/>
      <c r="S6795" s="12"/>
      <c r="X6795" s="12"/>
      <c r="AM6795" s="12"/>
    </row>
    <row r="6796" spans="9:39" x14ac:dyDescent="0.3">
      <c r="I6796" s="12"/>
      <c r="N6796" s="12"/>
      <c r="S6796" s="12"/>
      <c r="X6796" s="12"/>
      <c r="AM6796" s="12"/>
    </row>
    <row r="6797" spans="9:39" x14ac:dyDescent="0.3">
      <c r="I6797" s="12"/>
      <c r="N6797" s="12"/>
      <c r="S6797" s="12"/>
      <c r="X6797" s="12"/>
      <c r="AM6797" s="12"/>
    </row>
    <row r="6798" spans="9:39" x14ac:dyDescent="0.3">
      <c r="I6798" s="12"/>
      <c r="N6798" s="12"/>
      <c r="S6798" s="12"/>
      <c r="X6798" s="12"/>
      <c r="AM6798" s="12"/>
    </row>
    <row r="6799" spans="9:39" x14ac:dyDescent="0.3">
      <c r="I6799" s="12"/>
      <c r="N6799" s="12"/>
      <c r="S6799" s="12"/>
      <c r="X6799" s="12"/>
      <c r="AM6799" s="12"/>
    </row>
    <row r="6800" spans="9:39" x14ac:dyDescent="0.3">
      <c r="I6800" s="12"/>
      <c r="N6800" s="12"/>
      <c r="S6800" s="12"/>
      <c r="X6800" s="12"/>
      <c r="AM6800" s="12"/>
    </row>
    <row r="6801" spans="9:39" x14ac:dyDescent="0.3">
      <c r="I6801" s="12"/>
      <c r="N6801" s="12"/>
      <c r="S6801" s="12"/>
      <c r="X6801" s="12"/>
      <c r="AM6801" s="12"/>
    </row>
    <row r="6802" spans="9:39" x14ac:dyDescent="0.3">
      <c r="I6802" s="12"/>
      <c r="N6802" s="12"/>
      <c r="S6802" s="12"/>
      <c r="X6802" s="12"/>
      <c r="AM6802" s="12"/>
    </row>
    <row r="6803" spans="9:39" x14ac:dyDescent="0.3">
      <c r="I6803" s="12"/>
      <c r="N6803" s="12"/>
      <c r="S6803" s="12"/>
      <c r="X6803" s="12"/>
      <c r="AM6803" s="12"/>
    </row>
    <row r="6804" spans="9:39" x14ac:dyDescent="0.3">
      <c r="I6804" s="12"/>
      <c r="N6804" s="12"/>
      <c r="S6804" s="12"/>
      <c r="X6804" s="12"/>
      <c r="AM6804" s="12"/>
    </row>
    <row r="6805" spans="9:39" x14ac:dyDescent="0.3">
      <c r="I6805" s="12"/>
      <c r="N6805" s="12"/>
      <c r="S6805" s="12"/>
      <c r="X6805" s="12"/>
      <c r="AM6805" s="12"/>
    </row>
    <row r="6806" spans="9:39" x14ac:dyDescent="0.3">
      <c r="I6806" s="12"/>
      <c r="N6806" s="12"/>
      <c r="S6806" s="12"/>
      <c r="X6806" s="12"/>
      <c r="AM6806" s="12"/>
    </row>
    <row r="6807" spans="9:39" x14ac:dyDescent="0.3">
      <c r="I6807" s="12"/>
      <c r="N6807" s="12"/>
      <c r="S6807" s="12"/>
      <c r="X6807" s="12"/>
      <c r="AM6807" s="12"/>
    </row>
    <row r="6808" spans="9:39" x14ac:dyDescent="0.3">
      <c r="I6808" s="12"/>
      <c r="N6808" s="12"/>
      <c r="S6808" s="12"/>
      <c r="X6808" s="12"/>
      <c r="AM6808" s="12"/>
    </row>
    <row r="6809" spans="9:39" x14ac:dyDescent="0.3">
      <c r="I6809" s="12"/>
      <c r="N6809" s="12"/>
      <c r="S6809" s="12"/>
      <c r="X6809" s="12"/>
      <c r="AM6809" s="12"/>
    </row>
    <row r="6810" spans="9:39" x14ac:dyDescent="0.3">
      <c r="I6810" s="12"/>
      <c r="N6810" s="12"/>
      <c r="S6810" s="12"/>
      <c r="X6810" s="12"/>
      <c r="AM6810" s="12"/>
    </row>
    <row r="6811" spans="9:39" x14ac:dyDescent="0.3">
      <c r="I6811" s="12"/>
      <c r="N6811" s="12"/>
      <c r="S6811" s="12"/>
      <c r="X6811" s="12"/>
      <c r="AM6811" s="12"/>
    </row>
    <row r="6812" spans="9:39" x14ac:dyDescent="0.3">
      <c r="I6812" s="12"/>
      <c r="N6812" s="12"/>
      <c r="S6812" s="12"/>
      <c r="X6812" s="12"/>
      <c r="AM6812" s="12"/>
    </row>
    <row r="6813" spans="9:39" x14ac:dyDescent="0.3">
      <c r="I6813" s="12"/>
      <c r="N6813" s="12"/>
      <c r="S6813" s="12"/>
      <c r="X6813" s="12"/>
      <c r="AM6813" s="12"/>
    </row>
    <row r="6814" spans="9:39" x14ac:dyDescent="0.3">
      <c r="I6814" s="12"/>
      <c r="N6814" s="12"/>
      <c r="S6814" s="12"/>
      <c r="X6814" s="12"/>
      <c r="AM6814" s="12"/>
    </row>
    <row r="6815" spans="9:39" x14ac:dyDescent="0.3">
      <c r="I6815" s="12"/>
      <c r="N6815" s="12"/>
      <c r="S6815" s="12"/>
      <c r="X6815" s="12"/>
      <c r="AM6815" s="12"/>
    </row>
    <row r="6816" spans="9:39" x14ac:dyDescent="0.3">
      <c r="I6816" s="12"/>
      <c r="N6816" s="12"/>
      <c r="S6816" s="12"/>
      <c r="X6816" s="12"/>
      <c r="AM6816" s="12"/>
    </row>
    <row r="6817" spans="9:39" x14ac:dyDescent="0.3">
      <c r="I6817" s="12"/>
      <c r="N6817" s="12"/>
      <c r="S6817" s="12"/>
      <c r="X6817" s="12"/>
      <c r="AM6817" s="12"/>
    </row>
    <row r="6818" spans="9:39" x14ac:dyDescent="0.3">
      <c r="I6818" s="12"/>
      <c r="N6818" s="12"/>
      <c r="S6818" s="12"/>
      <c r="X6818" s="12"/>
      <c r="AM6818" s="12"/>
    </row>
    <row r="6819" spans="9:39" x14ac:dyDescent="0.3">
      <c r="I6819" s="12"/>
      <c r="N6819" s="12"/>
      <c r="S6819" s="12"/>
      <c r="X6819" s="12"/>
      <c r="AM6819" s="12"/>
    </row>
    <row r="6820" spans="9:39" x14ac:dyDescent="0.3">
      <c r="I6820" s="12"/>
      <c r="N6820" s="12"/>
      <c r="S6820" s="12"/>
      <c r="X6820" s="12"/>
      <c r="AM6820" s="12"/>
    </row>
    <row r="6821" spans="9:39" x14ac:dyDescent="0.3">
      <c r="I6821" s="12"/>
      <c r="N6821" s="12"/>
      <c r="S6821" s="12"/>
      <c r="X6821" s="12"/>
      <c r="AM6821" s="12"/>
    </row>
    <row r="6822" spans="9:39" x14ac:dyDescent="0.3">
      <c r="I6822" s="12"/>
      <c r="N6822" s="12"/>
      <c r="S6822" s="12"/>
      <c r="X6822" s="12"/>
      <c r="AM6822" s="12"/>
    </row>
    <row r="6823" spans="9:39" x14ac:dyDescent="0.3">
      <c r="I6823" s="12"/>
      <c r="N6823" s="12"/>
      <c r="S6823" s="12"/>
      <c r="X6823" s="12"/>
      <c r="AM6823" s="12"/>
    </row>
    <row r="6824" spans="9:39" x14ac:dyDescent="0.3">
      <c r="I6824" s="12"/>
      <c r="N6824" s="12"/>
      <c r="S6824" s="12"/>
      <c r="X6824" s="12"/>
      <c r="AM6824" s="12"/>
    </row>
    <row r="6825" spans="9:39" x14ac:dyDescent="0.3">
      <c r="I6825" s="12"/>
      <c r="N6825" s="12"/>
      <c r="S6825" s="12"/>
      <c r="X6825" s="12"/>
      <c r="AM6825" s="12"/>
    </row>
    <row r="6826" spans="9:39" x14ac:dyDescent="0.3">
      <c r="I6826" s="12"/>
      <c r="N6826" s="12"/>
      <c r="S6826" s="12"/>
      <c r="X6826" s="12"/>
      <c r="AM6826" s="12"/>
    </row>
    <row r="6827" spans="9:39" x14ac:dyDescent="0.3">
      <c r="I6827" s="12"/>
      <c r="N6827" s="12"/>
      <c r="S6827" s="12"/>
      <c r="X6827" s="12"/>
      <c r="AM6827" s="12"/>
    </row>
    <row r="6828" spans="9:39" x14ac:dyDescent="0.3">
      <c r="I6828" s="12"/>
      <c r="N6828" s="12"/>
      <c r="S6828" s="12"/>
      <c r="X6828" s="12"/>
      <c r="AM6828" s="12"/>
    </row>
    <row r="6829" spans="9:39" x14ac:dyDescent="0.3">
      <c r="I6829" s="12"/>
      <c r="N6829" s="12"/>
      <c r="S6829" s="12"/>
      <c r="X6829" s="12"/>
      <c r="AM6829" s="12"/>
    </row>
    <row r="6830" spans="9:39" x14ac:dyDescent="0.3">
      <c r="I6830" s="12"/>
      <c r="N6830" s="12"/>
      <c r="S6830" s="12"/>
      <c r="X6830" s="12"/>
      <c r="AM6830" s="12"/>
    </row>
    <row r="6831" spans="9:39" x14ac:dyDescent="0.3">
      <c r="I6831" s="12"/>
      <c r="N6831" s="12"/>
      <c r="S6831" s="12"/>
      <c r="X6831" s="12"/>
      <c r="AM6831" s="12"/>
    </row>
    <row r="6832" spans="9:39" x14ac:dyDescent="0.3">
      <c r="I6832" s="12"/>
      <c r="N6832" s="12"/>
      <c r="S6832" s="12"/>
      <c r="X6832" s="12"/>
      <c r="AM6832" s="12"/>
    </row>
    <row r="6833" spans="9:39" x14ac:dyDescent="0.3">
      <c r="I6833" s="12"/>
      <c r="N6833" s="12"/>
      <c r="S6833" s="12"/>
      <c r="X6833" s="12"/>
      <c r="AM6833" s="12"/>
    </row>
    <row r="6834" spans="9:39" x14ac:dyDescent="0.3">
      <c r="I6834" s="12"/>
      <c r="N6834" s="12"/>
      <c r="S6834" s="12"/>
      <c r="X6834" s="12"/>
      <c r="AM6834" s="12"/>
    </row>
    <row r="6835" spans="9:39" x14ac:dyDescent="0.3">
      <c r="I6835" s="12"/>
      <c r="N6835" s="12"/>
      <c r="S6835" s="12"/>
      <c r="X6835" s="12"/>
      <c r="AM6835" s="12"/>
    </row>
    <row r="6836" spans="9:39" x14ac:dyDescent="0.3">
      <c r="I6836" s="12"/>
      <c r="N6836" s="12"/>
      <c r="S6836" s="12"/>
      <c r="X6836" s="12"/>
      <c r="AM6836" s="12"/>
    </row>
    <row r="6837" spans="9:39" x14ac:dyDescent="0.3">
      <c r="I6837" s="12"/>
      <c r="N6837" s="12"/>
      <c r="S6837" s="12"/>
      <c r="X6837" s="12"/>
      <c r="AM6837" s="12"/>
    </row>
    <row r="6838" spans="9:39" x14ac:dyDescent="0.3">
      <c r="I6838" s="12"/>
      <c r="N6838" s="12"/>
      <c r="S6838" s="12"/>
      <c r="X6838" s="12"/>
      <c r="AM6838" s="12"/>
    </row>
    <row r="6839" spans="9:39" x14ac:dyDescent="0.3">
      <c r="I6839" s="12"/>
      <c r="N6839" s="12"/>
      <c r="S6839" s="12"/>
      <c r="X6839" s="12"/>
      <c r="AM6839" s="12"/>
    </row>
    <row r="6840" spans="9:39" x14ac:dyDescent="0.3">
      <c r="I6840" s="12"/>
      <c r="N6840" s="12"/>
      <c r="S6840" s="12"/>
      <c r="X6840" s="12"/>
      <c r="AM6840" s="12"/>
    </row>
    <row r="6841" spans="9:39" x14ac:dyDescent="0.3">
      <c r="I6841" s="12"/>
      <c r="N6841" s="12"/>
      <c r="S6841" s="12"/>
      <c r="X6841" s="12"/>
      <c r="AM6841" s="12"/>
    </row>
    <row r="6842" spans="9:39" x14ac:dyDescent="0.3">
      <c r="I6842" s="12"/>
      <c r="N6842" s="12"/>
      <c r="S6842" s="12"/>
      <c r="X6842" s="12"/>
      <c r="AM6842" s="12"/>
    </row>
    <row r="6843" spans="9:39" x14ac:dyDescent="0.3">
      <c r="I6843" s="12"/>
      <c r="N6843" s="12"/>
      <c r="S6843" s="12"/>
      <c r="X6843" s="12"/>
      <c r="AM6843" s="12"/>
    </row>
    <row r="6844" spans="9:39" x14ac:dyDescent="0.3">
      <c r="I6844" s="12"/>
      <c r="N6844" s="12"/>
      <c r="S6844" s="12"/>
      <c r="X6844" s="12"/>
      <c r="AM6844" s="12"/>
    </row>
    <row r="6845" spans="9:39" x14ac:dyDescent="0.3">
      <c r="I6845" s="12"/>
      <c r="N6845" s="12"/>
      <c r="S6845" s="12"/>
      <c r="X6845" s="12"/>
      <c r="AM6845" s="12"/>
    </row>
    <row r="6846" spans="9:39" x14ac:dyDescent="0.3">
      <c r="I6846" s="12"/>
      <c r="N6846" s="12"/>
      <c r="S6846" s="12"/>
      <c r="X6846" s="12"/>
      <c r="AM6846" s="12"/>
    </row>
    <row r="6847" spans="9:39" x14ac:dyDescent="0.3">
      <c r="I6847" s="12"/>
      <c r="N6847" s="12"/>
      <c r="S6847" s="12"/>
      <c r="X6847" s="12"/>
      <c r="AM6847" s="12"/>
    </row>
    <row r="6848" spans="9:39" x14ac:dyDescent="0.3">
      <c r="I6848" s="12"/>
      <c r="N6848" s="12"/>
      <c r="S6848" s="12"/>
      <c r="X6848" s="12"/>
      <c r="AM6848" s="12"/>
    </row>
    <row r="6849" spans="9:39" x14ac:dyDescent="0.3">
      <c r="I6849" s="12"/>
      <c r="N6849" s="12"/>
      <c r="S6849" s="12"/>
      <c r="X6849" s="12"/>
      <c r="AM6849" s="12"/>
    </row>
    <row r="6850" spans="9:39" x14ac:dyDescent="0.3">
      <c r="I6850" s="12"/>
      <c r="N6850" s="12"/>
      <c r="S6850" s="12"/>
      <c r="X6850" s="12"/>
      <c r="AM6850" s="12"/>
    </row>
    <row r="6851" spans="9:39" x14ac:dyDescent="0.3">
      <c r="I6851" s="12"/>
      <c r="N6851" s="12"/>
      <c r="S6851" s="12"/>
      <c r="X6851" s="12"/>
      <c r="AM6851" s="12"/>
    </row>
    <row r="6852" spans="9:39" x14ac:dyDescent="0.3">
      <c r="I6852" s="12"/>
      <c r="N6852" s="12"/>
      <c r="S6852" s="12"/>
      <c r="X6852" s="12"/>
      <c r="AM6852" s="12"/>
    </row>
    <row r="6853" spans="9:39" x14ac:dyDescent="0.3">
      <c r="I6853" s="12"/>
      <c r="N6853" s="12"/>
      <c r="S6853" s="12"/>
      <c r="X6853" s="12"/>
      <c r="AM6853" s="12"/>
    </row>
    <row r="6854" spans="9:39" x14ac:dyDescent="0.3">
      <c r="I6854" s="12"/>
      <c r="N6854" s="12"/>
      <c r="S6854" s="12"/>
      <c r="X6854" s="12"/>
      <c r="AM6854" s="12"/>
    </row>
    <row r="6855" spans="9:39" x14ac:dyDescent="0.3">
      <c r="I6855" s="12"/>
      <c r="N6855" s="12"/>
      <c r="S6855" s="12"/>
      <c r="X6855" s="12"/>
      <c r="AM6855" s="12"/>
    </row>
    <row r="6856" spans="9:39" x14ac:dyDescent="0.3">
      <c r="I6856" s="12"/>
      <c r="N6856" s="12"/>
      <c r="S6856" s="12"/>
      <c r="X6856" s="12"/>
      <c r="AM6856" s="12"/>
    </row>
    <row r="6857" spans="9:39" x14ac:dyDescent="0.3">
      <c r="I6857" s="12"/>
      <c r="N6857" s="12"/>
      <c r="S6857" s="12"/>
      <c r="X6857" s="12"/>
      <c r="AM6857" s="12"/>
    </row>
    <row r="6858" spans="9:39" x14ac:dyDescent="0.3">
      <c r="I6858" s="12"/>
      <c r="N6858" s="12"/>
      <c r="S6858" s="12"/>
      <c r="X6858" s="12"/>
      <c r="AM6858" s="12"/>
    </row>
    <row r="6859" spans="9:39" x14ac:dyDescent="0.3">
      <c r="I6859" s="12"/>
      <c r="N6859" s="12"/>
      <c r="S6859" s="12"/>
      <c r="X6859" s="12"/>
      <c r="AM6859" s="12"/>
    </row>
    <row r="6860" spans="9:39" x14ac:dyDescent="0.3">
      <c r="I6860" s="12"/>
      <c r="N6860" s="12"/>
      <c r="S6860" s="12"/>
      <c r="X6860" s="12"/>
      <c r="AM6860" s="12"/>
    </row>
    <row r="6861" spans="9:39" x14ac:dyDescent="0.3">
      <c r="I6861" s="12"/>
      <c r="N6861" s="12"/>
      <c r="S6861" s="12"/>
      <c r="X6861" s="12"/>
      <c r="AM6861" s="12"/>
    </row>
    <row r="6862" spans="9:39" x14ac:dyDescent="0.3">
      <c r="I6862" s="12"/>
      <c r="N6862" s="12"/>
      <c r="S6862" s="12"/>
      <c r="X6862" s="12"/>
      <c r="AM6862" s="12"/>
    </row>
    <row r="6863" spans="9:39" x14ac:dyDescent="0.3">
      <c r="I6863" s="12"/>
      <c r="N6863" s="12"/>
      <c r="S6863" s="12"/>
      <c r="X6863" s="12"/>
      <c r="AM6863" s="12"/>
    </row>
    <row r="6864" spans="9:39" x14ac:dyDescent="0.3">
      <c r="I6864" s="12"/>
      <c r="N6864" s="12"/>
      <c r="S6864" s="12"/>
      <c r="X6864" s="12"/>
      <c r="AM6864" s="12"/>
    </row>
    <row r="6865" spans="9:39" x14ac:dyDescent="0.3">
      <c r="I6865" s="12"/>
      <c r="N6865" s="12"/>
      <c r="S6865" s="12"/>
      <c r="X6865" s="12"/>
      <c r="AM6865" s="12"/>
    </row>
    <row r="6866" spans="9:39" x14ac:dyDescent="0.3">
      <c r="I6866" s="12"/>
      <c r="N6866" s="12"/>
      <c r="S6866" s="12"/>
      <c r="X6866" s="12"/>
      <c r="AM6866" s="12"/>
    </row>
    <row r="6867" spans="9:39" x14ac:dyDescent="0.3">
      <c r="I6867" s="12"/>
      <c r="N6867" s="12"/>
      <c r="S6867" s="12"/>
      <c r="X6867" s="12"/>
      <c r="AM6867" s="12"/>
    </row>
    <row r="6868" spans="9:39" x14ac:dyDescent="0.3">
      <c r="I6868" s="12"/>
      <c r="N6868" s="12"/>
      <c r="S6868" s="12"/>
      <c r="X6868" s="12"/>
      <c r="AM6868" s="12"/>
    </row>
    <row r="6869" spans="9:39" x14ac:dyDescent="0.3">
      <c r="I6869" s="12"/>
      <c r="N6869" s="12"/>
      <c r="S6869" s="12"/>
      <c r="X6869" s="12"/>
      <c r="AM6869" s="12"/>
    </row>
    <row r="6870" spans="9:39" x14ac:dyDescent="0.3">
      <c r="I6870" s="12"/>
      <c r="N6870" s="12"/>
      <c r="S6870" s="12"/>
      <c r="X6870" s="12"/>
      <c r="AM6870" s="12"/>
    </row>
    <row r="6871" spans="9:39" x14ac:dyDescent="0.3">
      <c r="I6871" s="12"/>
      <c r="N6871" s="12"/>
      <c r="S6871" s="12"/>
      <c r="X6871" s="12"/>
      <c r="AM6871" s="12"/>
    </row>
    <row r="6872" spans="9:39" x14ac:dyDescent="0.3">
      <c r="I6872" s="12"/>
      <c r="N6872" s="12"/>
      <c r="S6872" s="12"/>
      <c r="X6872" s="12"/>
      <c r="AM6872" s="12"/>
    </row>
    <row r="6873" spans="9:39" x14ac:dyDescent="0.3">
      <c r="I6873" s="12"/>
      <c r="N6873" s="12"/>
      <c r="S6873" s="12"/>
      <c r="X6873" s="12"/>
      <c r="AM6873" s="12"/>
    </row>
    <row r="6874" spans="9:39" x14ac:dyDescent="0.3">
      <c r="I6874" s="12"/>
      <c r="N6874" s="12"/>
      <c r="S6874" s="12"/>
      <c r="X6874" s="12"/>
      <c r="AM6874" s="12"/>
    </row>
    <row r="6875" spans="9:39" x14ac:dyDescent="0.3">
      <c r="I6875" s="12"/>
      <c r="N6875" s="12"/>
      <c r="S6875" s="12"/>
      <c r="X6875" s="12"/>
      <c r="AM6875" s="12"/>
    </row>
    <row r="6876" spans="9:39" x14ac:dyDescent="0.3">
      <c r="I6876" s="12"/>
      <c r="N6876" s="12"/>
      <c r="S6876" s="12"/>
      <c r="X6876" s="12"/>
      <c r="AM6876" s="12"/>
    </row>
    <row r="6877" spans="9:39" x14ac:dyDescent="0.3">
      <c r="I6877" s="12"/>
      <c r="N6877" s="12"/>
      <c r="S6877" s="12"/>
      <c r="X6877" s="12"/>
      <c r="AM6877" s="12"/>
    </row>
    <row r="6878" spans="9:39" x14ac:dyDescent="0.3">
      <c r="I6878" s="12"/>
      <c r="N6878" s="12"/>
      <c r="S6878" s="12"/>
      <c r="X6878" s="12"/>
      <c r="AM6878" s="12"/>
    </row>
    <row r="6879" spans="9:39" x14ac:dyDescent="0.3">
      <c r="I6879" s="12"/>
      <c r="N6879" s="12"/>
      <c r="S6879" s="12"/>
      <c r="X6879" s="12"/>
      <c r="AM6879" s="12"/>
    </row>
    <row r="6880" spans="9:39" x14ac:dyDescent="0.3">
      <c r="I6880" s="12"/>
      <c r="N6880" s="12"/>
      <c r="S6880" s="12"/>
      <c r="X6880" s="12"/>
      <c r="AM6880" s="12"/>
    </row>
    <row r="6881" spans="9:39" x14ac:dyDescent="0.3">
      <c r="I6881" s="12"/>
      <c r="N6881" s="12"/>
      <c r="S6881" s="12"/>
      <c r="X6881" s="12"/>
      <c r="AM6881" s="12"/>
    </row>
    <row r="6882" spans="9:39" x14ac:dyDescent="0.3">
      <c r="I6882" s="12"/>
      <c r="N6882" s="12"/>
      <c r="S6882" s="12"/>
      <c r="X6882" s="12"/>
      <c r="AM6882" s="12"/>
    </row>
    <row r="6883" spans="9:39" x14ac:dyDescent="0.3">
      <c r="I6883" s="12"/>
      <c r="N6883" s="12"/>
      <c r="S6883" s="12"/>
      <c r="X6883" s="12"/>
      <c r="AM6883" s="12"/>
    </row>
    <row r="6884" spans="9:39" x14ac:dyDescent="0.3">
      <c r="I6884" s="12"/>
      <c r="N6884" s="12"/>
      <c r="S6884" s="12"/>
      <c r="X6884" s="12"/>
      <c r="AM6884" s="12"/>
    </row>
    <row r="6885" spans="9:39" x14ac:dyDescent="0.3">
      <c r="I6885" s="12"/>
      <c r="N6885" s="12"/>
      <c r="S6885" s="12"/>
      <c r="X6885" s="12"/>
      <c r="AM6885" s="12"/>
    </row>
    <row r="6886" spans="9:39" x14ac:dyDescent="0.3">
      <c r="I6886" s="12"/>
      <c r="N6886" s="12"/>
      <c r="S6886" s="12"/>
      <c r="X6886" s="12"/>
      <c r="AM6886" s="12"/>
    </row>
    <row r="6887" spans="9:39" x14ac:dyDescent="0.3">
      <c r="I6887" s="12"/>
      <c r="N6887" s="12"/>
      <c r="S6887" s="12"/>
      <c r="X6887" s="12"/>
      <c r="AM6887" s="12"/>
    </row>
    <row r="6888" spans="9:39" x14ac:dyDescent="0.3">
      <c r="I6888" s="12"/>
      <c r="N6888" s="12"/>
      <c r="S6888" s="12"/>
      <c r="X6888" s="12"/>
      <c r="AM6888" s="12"/>
    </row>
    <row r="6889" spans="9:39" x14ac:dyDescent="0.3">
      <c r="I6889" s="12"/>
      <c r="N6889" s="12"/>
      <c r="S6889" s="12"/>
      <c r="X6889" s="12"/>
      <c r="AM6889" s="12"/>
    </row>
    <row r="6890" spans="9:39" x14ac:dyDescent="0.3">
      <c r="I6890" s="12"/>
      <c r="N6890" s="12"/>
      <c r="S6890" s="12"/>
      <c r="X6890" s="12"/>
      <c r="AM6890" s="12"/>
    </row>
    <row r="6891" spans="9:39" x14ac:dyDescent="0.3">
      <c r="I6891" s="12"/>
      <c r="N6891" s="12"/>
      <c r="S6891" s="12"/>
      <c r="X6891" s="12"/>
      <c r="AM6891" s="12"/>
    </row>
    <row r="6892" spans="9:39" x14ac:dyDescent="0.3">
      <c r="I6892" s="12"/>
      <c r="N6892" s="12"/>
      <c r="S6892" s="12"/>
      <c r="X6892" s="12"/>
      <c r="AM6892" s="12"/>
    </row>
    <row r="6893" spans="9:39" x14ac:dyDescent="0.3">
      <c r="I6893" s="12"/>
      <c r="N6893" s="12"/>
      <c r="S6893" s="12"/>
      <c r="X6893" s="12"/>
      <c r="AM6893" s="12"/>
    </row>
    <row r="6894" spans="9:39" x14ac:dyDescent="0.3">
      <c r="I6894" s="12"/>
      <c r="N6894" s="12"/>
      <c r="S6894" s="12"/>
      <c r="X6894" s="12"/>
      <c r="AM6894" s="12"/>
    </row>
    <row r="6895" spans="9:39" x14ac:dyDescent="0.3">
      <c r="I6895" s="12"/>
      <c r="N6895" s="12"/>
      <c r="S6895" s="12"/>
      <c r="X6895" s="12"/>
      <c r="AM6895" s="12"/>
    </row>
    <row r="6896" spans="9:39" x14ac:dyDescent="0.3">
      <c r="I6896" s="12"/>
      <c r="N6896" s="12"/>
      <c r="S6896" s="12"/>
      <c r="X6896" s="12"/>
      <c r="AM6896" s="12"/>
    </row>
    <row r="6897" spans="9:39" x14ac:dyDescent="0.3">
      <c r="I6897" s="12"/>
      <c r="N6897" s="12"/>
      <c r="S6897" s="12"/>
      <c r="X6897" s="12"/>
      <c r="AM6897" s="12"/>
    </row>
    <row r="6898" spans="9:39" x14ac:dyDescent="0.3">
      <c r="I6898" s="12"/>
      <c r="N6898" s="12"/>
      <c r="S6898" s="12"/>
      <c r="X6898" s="12"/>
      <c r="AM6898" s="12"/>
    </row>
    <row r="6899" spans="9:39" x14ac:dyDescent="0.3">
      <c r="I6899" s="12"/>
      <c r="N6899" s="12"/>
      <c r="S6899" s="12"/>
      <c r="X6899" s="12"/>
      <c r="AM6899" s="12"/>
    </row>
    <row r="6900" spans="9:39" x14ac:dyDescent="0.3">
      <c r="I6900" s="12"/>
      <c r="N6900" s="12"/>
      <c r="S6900" s="12"/>
      <c r="X6900" s="12"/>
      <c r="AM6900" s="12"/>
    </row>
    <row r="6901" spans="9:39" x14ac:dyDescent="0.3">
      <c r="I6901" s="12"/>
      <c r="N6901" s="12"/>
      <c r="S6901" s="12"/>
      <c r="X6901" s="12"/>
      <c r="AM6901" s="12"/>
    </row>
    <row r="6902" spans="9:39" x14ac:dyDescent="0.3">
      <c r="I6902" s="12"/>
      <c r="N6902" s="12"/>
      <c r="S6902" s="12"/>
      <c r="X6902" s="12"/>
      <c r="AM6902" s="12"/>
    </row>
    <row r="6903" spans="9:39" x14ac:dyDescent="0.3">
      <c r="I6903" s="12"/>
      <c r="N6903" s="12"/>
      <c r="S6903" s="12"/>
      <c r="X6903" s="12"/>
      <c r="AM6903" s="12"/>
    </row>
    <row r="6904" spans="9:39" x14ac:dyDescent="0.3">
      <c r="I6904" s="12"/>
      <c r="N6904" s="12"/>
      <c r="S6904" s="12"/>
      <c r="X6904" s="12"/>
      <c r="AM6904" s="12"/>
    </row>
    <row r="6905" spans="9:39" x14ac:dyDescent="0.3">
      <c r="I6905" s="12"/>
      <c r="N6905" s="12"/>
      <c r="S6905" s="12"/>
      <c r="X6905" s="12"/>
      <c r="AM6905" s="12"/>
    </row>
    <row r="6906" spans="9:39" x14ac:dyDescent="0.3">
      <c r="I6906" s="12"/>
      <c r="N6906" s="12"/>
      <c r="S6906" s="12"/>
      <c r="X6906" s="12"/>
      <c r="AM6906" s="12"/>
    </row>
    <row r="6907" spans="9:39" x14ac:dyDescent="0.3">
      <c r="I6907" s="12"/>
      <c r="N6907" s="12"/>
      <c r="S6907" s="12"/>
      <c r="X6907" s="12"/>
      <c r="AM6907" s="12"/>
    </row>
    <row r="6908" spans="9:39" x14ac:dyDescent="0.3">
      <c r="I6908" s="12"/>
      <c r="N6908" s="12"/>
      <c r="S6908" s="12"/>
      <c r="X6908" s="12"/>
      <c r="AM6908" s="12"/>
    </row>
    <row r="6909" spans="9:39" x14ac:dyDescent="0.3">
      <c r="I6909" s="12"/>
      <c r="N6909" s="12"/>
      <c r="S6909" s="12"/>
      <c r="X6909" s="12"/>
      <c r="AM6909" s="12"/>
    </row>
    <row r="6910" spans="9:39" x14ac:dyDescent="0.3">
      <c r="I6910" s="12"/>
      <c r="N6910" s="12"/>
      <c r="S6910" s="12"/>
      <c r="X6910" s="12"/>
      <c r="AM6910" s="12"/>
    </row>
    <row r="6911" spans="9:39" x14ac:dyDescent="0.3">
      <c r="I6911" s="12"/>
      <c r="N6911" s="12"/>
      <c r="S6911" s="12"/>
      <c r="X6911" s="12"/>
      <c r="AM6911" s="12"/>
    </row>
    <row r="6912" spans="9:39" x14ac:dyDescent="0.3">
      <c r="I6912" s="12"/>
      <c r="N6912" s="12"/>
      <c r="S6912" s="12"/>
      <c r="X6912" s="12"/>
      <c r="AM6912" s="12"/>
    </row>
    <row r="6913" spans="9:39" x14ac:dyDescent="0.3">
      <c r="I6913" s="12"/>
      <c r="N6913" s="12"/>
      <c r="S6913" s="12"/>
      <c r="X6913" s="12"/>
      <c r="AM6913" s="12"/>
    </row>
    <row r="6914" spans="9:39" x14ac:dyDescent="0.3">
      <c r="I6914" s="12"/>
      <c r="N6914" s="12"/>
      <c r="S6914" s="12"/>
      <c r="X6914" s="12"/>
      <c r="AM6914" s="12"/>
    </row>
    <row r="6915" spans="9:39" x14ac:dyDescent="0.3">
      <c r="I6915" s="12"/>
      <c r="N6915" s="12"/>
      <c r="S6915" s="12"/>
      <c r="X6915" s="12"/>
      <c r="AM6915" s="12"/>
    </row>
    <row r="6916" spans="9:39" x14ac:dyDescent="0.3">
      <c r="I6916" s="12"/>
      <c r="N6916" s="12"/>
      <c r="S6916" s="12"/>
      <c r="X6916" s="12"/>
      <c r="AM6916" s="12"/>
    </row>
    <row r="6917" spans="9:39" x14ac:dyDescent="0.3">
      <c r="I6917" s="12"/>
      <c r="N6917" s="12"/>
      <c r="S6917" s="12"/>
      <c r="X6917" s="12"/>
      <c r="AM6917" s="12"/>
    </row>
    <row r="6918" spans="9:39" x14ac:dyDescent="0.3">
      <c r="I6918" s="12"/>
      <c r="N6918" s="12"/>
      <c r="S6918" s="12"/>
      <c r="X6918" s="12"/>
      <c r="AM6918" s="12"/>
    </row>
    <row r="6919" spans="9:39" x14ac:dyDescent="0.3">
      <c r="I6919" s="12"/>
      <c r="N6919" s="12"/>
      <c r="S6919" s="12"/>
      <c r="X6919" s="12"/>
      <c r="AM6919" s="12"/>
    </row>
    <row r="6920" spans="9:39" x14ac:dyDescent="0.3">
      <c r="I6920" s="12"/>
      <c r="N6920" s="12"/>
      <c r="S6920" s="12"/>
      <c r="X6920" s="12"/>
      <c r="AM6920" s="12"/>
    </row>
    <row r="6921" spans="9:39" x14ac:dyDescent="0.3">
      <c r="I6921" s="12"/>
      <c r="N6921" s="12"/>
      <c r="S6921" s="12"/>
      <c r="X6921" s="12"/>
      <c r="AM6921" s="12"/>
    </row>
    <row r="6922" spans="9:39" x14ac:dyDescent="0.3">
      <c r="I6922" s="12"/>
      <c r="N6922" s="12"/>
      <c r="S6922" s="12"/>
      <c r="X6922" s="12"/>
      <c r="AM6922" s="12"/>
    </row>
    <row r="6923" spans="9:39" x14ac:dyDescent="0.3">
      <c r="I6923" s="12"/>
      <c r="N6923" s="12"/>
      <c r="S6923" s="12"/>
      <c r="X6923" s="12"/>
      <c r="AM6923" s="12"/>
    </row>
    <row r="6924" spans="9:39" x14ac:dyDescent="0.3">
      <c r="I6924" s="12"/>
      <c r="N6924" s="12"/>
      <c r="S6924" s="12"/>
      <c r="X6924" s="12"/>
      <c r="AM6924" s="12"/>
    </row>
    <row r="6925" spans="9:39" x14ac:dyDescent="0.3">
      <c r="I6925" s="12"/>
      <c r="N6925" s="12"/>
      <c r="S6925" s="12"/>
      <c r="X6925" s="12"/>
      <c r="AM6925" s="12"/>
    </row>
    <row r="6926" spans="9:39" x14ac:dyDescent="0.3">
      <c r="I6926" s="12"/>
      <c r="N6926" s="12"/>
      <c r="S6926" s="12"/>
      <c r="X6926" s="12"/>
      <c r="AM6926" s="12"/>
    </row>
    <row r="6927" spans="9:39" x14ac:dyDescent="0.3">
      <c r="I6927" s="12"/>
      <c r="N6927" s="12"/>
      <c r="S6927" s="12"/>
      <c r="X6927" s="12"/>
      <c r="AM6927" s="12"/>
    </row>
    <row r="6928" spans="9:39" x14ac:dyDescent="0.3">
      <c r="I6928" s="12"/>
      <c r="N6928" s="12"/>
      <c r="S6928" s="12"/>
      <c r="X6928" s="12"/>
      <c r="AM6928" s="12"/>
    </row>
    <row r="6929" spans="9:39" x14ac:dyDescent="0.3">
      <c r="I6929" s="12"/>
      <c r="N6929" s="12"/>
      <c r="S6929" s="12"/>
      <c r="X6929" s="12"/>
      <c r="AM6929" s="12"/>
    </row>
    <row r="6930" spans="9:39" x14ac:dyDescent="0.3">
      <c r="I6930" s="12"/>
      <c r="N6930" s="12"/>
      <c r="S6930" s="12"/>
      <c r="X6930" s="12"/>
      <c r="AM6930" s="12"/>
    </row>
    <row r="6931" spans="9:39" x14ac:dyDescent="0.3">
      <c r="I6931" s="12"/>
      <c r="N6931" s="12"/>
      <c r="S6931" s="12"/>
      <c r="X6931" s="12"/>
      <c r="AM6931" s="12"/>
    </row>
    <row r="6932" spans="9:39" x14ac:dyDescent="0.3">
      <c r="I6932" s="12"/>
      <c r="N6932" s="12"/>
      <c r="S6932" s="12"/>
      <c r="X6932" s="12"/>
      <c r="AM6932" s="12"/>
    </row>
    <row r="6933" spans="9:39" x14ac:dyDescent="0.3">
      <c r="I6933" s="12"/>
      <c r="N6933" s="12"/>
      <c r="S6933" s="12"/>
      <c r="X6933" s="12"/>
      <c r="AM6933" s="12"/>
    </row>
    <row r="6934" spans="9:39" x14ac:dyDescent="0.3">
      <c r="I6934" s="12"/>
      <c r="N6934" s="12"/>
      <c r="S6934" s="12"/>
      <c r="X6934" s="12"/>
      <c r="AM6934" s="12"/>
    </row>
    <row r="6935" spans="9:39" x14ac:dyDescent="0.3">
      <c r="I6935" s="12"/>
      <c r="N6935" s="12"/>
      <c r="S6935" s="12"/>
      <c r="X6935" s="12"/>
      <c r="AM6935" s="12"/>
    </row>
    <row r="6936" spans="9:39" x14ac:dyDescent="0.3">
      <c r="I6936" s="12"/>
      <c r="N6936" s="12"/>
      <c r="S6936" s="12"/>
      <c r="X6936" s="12"/>
      <c r="AM6936" s="12"/>
    </row>
    <row r="6937" spans="9:39" x14ac:dyDescent="0.3">
      <c r="I6937" s="12"/>
      <c r="N6937" s="12"/>
      <c r="S6937" s="12"/>
      <c r="X6937" s="12"/>
      <c r="AM6937" s="12"/>
    </row>
    <row r="6938" spans="9:39" x14ac:dyDescent="0.3">
      <c r="I6938" s="12"/>
      <c r="N6938" s="12"/>
      <c r="S6938" s="12"/>
      <c r="X6938" s="12"/>
      <c r="AM6938" s="12"/>
    </row>
    <row r="6939" spans="9:39" x14ac:dyDescent="0.3">
      <c r="I6939" s="12"/>
      <c r="N6939" s="12"/>
      <c r="S6939" s="12"/>
      <c r="X6939" s="12"/>
      <c r="AM6939" s="12"/>
    </row>
    <row r="6940" spans="9:39" x14ac:dyDescent="0.3">
      <c r="I6940" s="12"/>
      <c r="N6940" s="12"/>
      <c r="S6940" s="12"/>
      <c r="X6940" s="12"/>
      <c r="AM6940" s="12"/>
    </row>
    <row r="6941" spans="9:39" x14ac:dyDescent="0.3">
      <c r="I6941" s="12"/>
      <c r="N6941" s="12"/>
      <c r="S6941" s="12"/>
      <c r="X6941" s="12"/>
      <c r="AM6941" s="12"/>
    </row>
    <row r="6942" spans="9:39" x14ac:dyDescent="0.3">
      <c r="I6942" s="12"/>
      <c r="N6942" s="12"/>
      <c r="S6942" s="12"/>
      <c r="X6942" s="12"/>
      <c r="AM6942" s="12"/>
    </row>
    <row r="6943" spans="9:39" x14ac:dyDescent="0.3">
      <c r="I6943" s="12"/>
      <c r="N6943" s="12"/>
      <c r="S6943" s="12"/>
      <c r="X6943" s="12"/>
      <c r="AM6943" s="12"/>
    </row>
    <row r="6944" spans="9:39" x14ac:dyDescent="0.3">
      <c r="I6944" s="12"/>
      <c r="N6944" s="12"/>
      <c r="S6944" s="12"/>
      <c r="X6944" s="12"/>
      <c r="AM6944" s="12"/>
    </row>
    <row r="6945" spans="9:39" x14ac:dyDescent="0.3">
      <c r="I6945" s="12"/>
      <c r="N6945" s="12"/>
      <c r="S6945" s="12"/>
      <c r="X6945" s="12"/>
      <c r="AM6945" s="12"/>
    </row>
    <row r="6946" spans="9:39" x14ac:dyDescent="0.3">
      <c r="I6946" s="12"/>
      <c r="N6946" s="12"/>
      <c r="S6946" s="12"/>
      <c r="X6946" s="12"/>
      <c r="AM6946" s="12"/>
    </row>
    <row r="6947" spans="9:39" x14ac:dyDescent="0.3">
      <c r="I6947" s="12"/>
      <c r="N6947" s="12"/>
      <c r="S6947" s="12"/>
      <c r="X6947" s="12"/>
      <c r="AM6947" s="12"/>
    </row>
    <row r="6948" spans="9:39" x14ac:dyDescent="0.3">
      <c r="I6948" s="12"/>
      <c r="N6948" s="12"/>
      <c r="S6948" s="12"/>
      <c r="X6948" s="12"/>
      <c r="AM6948" s="12"/>
    </row>
    <row r="6949" spans="9:39" x14ac:dyDescent="0.3">
      <c r="I6949" s="12"/>
      <c r="N6949" s="12"/>
      <c r="S6949" s="12"/>
      <c r="X6949" s="12"/>
      <c r="AM6949" s="12"/>
    </row>
    <row r="6950" spans="9:39" x14ac:dyDescent="0.3">
      <c r="I6950" s="12"/>
      <c r="N6950" s="12"/>
      <c r="S6950" s="12"/>
      <c r="X6950" s="12"/>
      <c r="AM6950" s="12"/>
    </row>
    <row r="6951" spans="9:39" x14ac:dyDescent="0.3">
      <c r="I6951" s="12"/>
      <c r="N6951" s="12"/>
      <c r="S6951" s="12"/>
      <c r="X6951" s="12"/>
      <c r="AM6951" s="12"/>
    </row>
    <row r="6952" spans="9:39" x14ac:dyDescent="0.3">
      <c r="I6952" s="12"/>
      <c r="N6952" s="12"/>
      <c r="S6952" s="12"/>
      <c r="X6952" s="12"/>
      <c r="AM6952" s="12"/>
    </row>
    <row r="6953" spans="9:39" x14ac:dyDescent="0.3">
      <c r="I6953" s="12"/>
      <c r="N6953" s="12"/>
      <c r="S6953" s="12"/>
      <c r="X6953" s="12"/>
      <c r="AM6953" s="12"/>
    </row>
    <row r="6954" spans="9:39" x14ac:dyDescent="0.3">
      <c r="I6954" s="12"/>
      <c r="N6954" s="12"/>
      <c r="S6954" s="12"/>
      <c r="X6954" s="12"/>
      <c r="AM6954" s="12"/>
    </row>
    <row r="6955" spans="9:39" x14ac:dyDescent="0.3">
      <c r="I6955" s="12"/>
      <c r="N6955" s="12"/>
      <c r="S6955" s="12"/>
      <c r="X6955" s="12"/>
      <c r="AM6955" s="12"/>
    </row>
    <row r="6956" spans="9:39" x14ac:dyDescent="0.3">
      <c r="I6956" s="12"/>
      <c r="N6956" s="12"/>
      <c r="S6956" s="12"/>
      <c r="X6956" s="12"/>
      <c r="AM6956" s="12"/>
    </row>
    <row r="6957" spans="9:39" x14ac:dyDescent="0.3">
      <c r="I6957" s="12"/>
      <c r="N6957" s="12"/>
      <c r="S6957" s="12"/>
      <c r="X6957" s="12"/>
      <c r="AM6957" s="12"/>
    </row>
    <row r="6958" spans="9:39" x14ac:dyDescent="0.3">
      <c r="I6958" s="12"/>
      <c r="N6958" s="12"/>
      <c r="S6958" s="12"/>
      <c r="X6958" s="12"/>
      <c r="AM6958" s="12"/>
    </row>
    <row r="6959" spans="9:39" x14ac:dyDescent="0.3">
      <c r="I6959" s="12"/>
      <c r="N6959" s="12"/>
      <c r="S6959" s="12"/>
      <c r="X6959" s="12"/>
      <c r="AM6959" s="12"/>
    </row>
    <row r="6960" spans="9:39" x14ac:dyDescent="0.3">
      <c r="I6960" s="12"/>
      <c r="N6960" s="12"/>
      <c r="S6960" s="12"/>
      <c r="X6960" s="12"/>
      <c r="AM6960" s="12"/>
    </row>
    <row r="6961" spans="9:39" x14ac:dyDescent="0.3">
      <c r="I6961" s="12"/>
      <c r="N6961" s="12"/>
      <c r="S6961" s="12"/>
      <c r="X6961" s="12"/>
      <c r="AM6961" s="12"/>
    </row>
    <row r="6962" spans="9:39" x14ac:dyDescent="0.3">
      <c r="I6962" s="12"/>
      <c r="N6962" s="12"/>
      <c r="S6962" s="12"/>
      <c r="X6962" s="12"/>
      <c r="AM6962" s="12"/>
    </row>
    <row r="6963" spans="9:39" x14ac:dyDescent="0.3">
      <c r="I6963" s="12"/>
      <c r="N6963" s="12"/>
      <c r="S6963" s="12"/>
      <c r="X6963" s="12"/>
      <c r="AM6963" s="12"/>
    </row>
    <row r="6964" spans="9:39" x14ac:dyDescent="0.3">
      <c r="I6964" s="12"/>
      <c r="N6964" s="12"/>
      <c r="S6964" s="12"/>
      <c r="X6964" s="12"/>
      <c r="AM6964" s="12"/>
    </row>
    <row r="6965" spans="9:39" x14ac:dyDescent="0.3">
      <c r="I6965" s="12"/>
      <c r="N6965" s="12"/>
      <c r="S6965" s="12"/>
      <c r="X6965" s="12"/>
      <c r="AM6965" s="12"/>
    </row>
    <row r="6966" spans="9:39" x14ac:dyDescent="0.3">
      <c r="I6966" s="12"/>
      <c r="N6966" s="12"/>
      <c r="S6966" s="12"/>
      <c r="X6966" s="12"/>
      <c r="AM6966" s="12"/>
    </row>
    <row r="6967" spans="9:39" x14ac:dyDescent="0.3">
      <c r="I6967" s="12"/>
      <c r="N6967" s="12"/>
      <c r="S6967" s="12"/>
      <c r="X6967" s="12"/>
      <c r="AM6967" s="12"/>
    </row>
    <row r="6968" spans="9:39" x14ac:dyDescent="0.3">
      <c r="I6968" s="12"/>
      <c r="N6968" s="12"/>
      <c r="S6968" s="12"/>
      <c r="X6968" s="12"/>
      <c r="AM6968" s="12"/>
    </row>
    <row r="6969" spans="9:39" x14ac:dyDescent="0.3">
      <c r="I6969" s="12"/>
      <c r="N6969" s="12"/>
      <c r="S6969" s="12"/>
      <c r="X6969" s="12"/>
      <c r="AM6969" s="12"/>
    </row>
    <row r="6970" spans="9:39" x14ac:dyDescent="0.3">
      <c r="I6970" s="12"/>
      <c r="N6970" s="12"/>
      <c r="S6970" s="12"/>
      <c r="X6970" s="12"/>
      <c r="AM6970" s="12"/>
    </row>
    <row r="6971" spans="9:39" x14ac:dyDescent="0.3">
      <c r="I6971" s="12"/>
      <c r="N6971" s="12"/>
      <c r="S6971" s="12"/>
      <c r="X6971" s="12"/>
      <c r="AM6971" s="12"/>
    </row>
    <row r="6972" spans="9:39" x14ac:dyDescent="0.3">
      <c r="I6972" s="12"/>
      <c r="N6972" s="12"/>
      <c r="S6972" s="12"/>
      <c r="X6972" s="12"/>
      <c r="AM6972" s="12"/>
    </row>
    <row r="6973" spans="9:39" x14ac:dyDescent="0.3">
      <c r="I6973" s="12"/>
      <c r="N6973" s="12"/>
      <c r="S6973" s="12"/>
      <c r="X6973" s="12"/>
      <c r="AM6973" s="12"/>
    </row>
    <row r="6974" spans="9:39" x14ac:dyDescent="0.3">
      <c r="I6974" s="12"/>
      <c r="N6974" s="12"/>
      <c r="S6974" s="12"/>
      <c r="X6974" s="12"/>
      <c r="AM6974" s="12"/>
    </row>
    <row r="6975" spans="9:39" x14ac:dyDescent="0.3">
      <c r="I6975" s="12"/>
      <c r="N6975" s="12"/>
      <c r="S6975" s="12"/>
      <c r="X6975" s="12"/>
      <c r="AM6975" s="12"/>
    </row>
    <row r="6976" spans="9:39" x14ac:dyDescent="0.3">
      <c r="I6976" s="12"/>
      <c r="N6976" s="12"/>
      <c r="S6976" s="12"/>
      <c r="X6976" s="12"/>
      <c r="AM6976" s="12"/>
    </row>
    <row r="6977" spans="9:39" x14ac:dyDescent="0.3">
      <c r="I6977" s="12"/>
      <c r="N6977" s="12"/>
      <c r="S6977" s="12"/>
      <c r="X6977" s="12"/>
      <c r="AM6977" s="12"/>
    </row>
    <row r="6978" spans="9:39" x14ac:dyDescent="0.3">
      <c r="I6978" s="12"/>
      <c r="N6978" s="12"/>
      <c r="S6978" s="12"/>
      <c r="X6978" s="12"/>
      <c r="AM6978" s="12"/>
    </row>
    <row r="6979" spans="9:39" x14ac:dyDescent="0.3">
      <c r="I6979" s="12"/>
      <c r="N6979" s="12"/>
      <c r="S6979" s="12"/>
      <c r="X6979" s="12"/>
      <c r="AM6979" s="12"/>
    </row>
    <row r="6980" spans="9:39" x14ac:dyDescent="0.3">
      <c r="I6980" s="12"/>
      <c r="N6980" s="12"/>
      <c r="S6980" s="12"/>
      <c r="X6980" s="12"/>
      <c r="AM6980" s="12"/>
    </row>
    <row r="6981" spans="9:39" x14ac:dyDescent="0.3">
      <c r="I6981" s="12"/>
      <c r="N6981" s="12"/>
      <c r="S6981" s="12"/>
      <c r="X6981" s="12"/>
      <c r="AM6981" s="12"/>
    </row>
    <row r="6982" spans="9:39" x14ac:dyDescent="0.3">
      <c r="I6982" s="12"/>
      <c r="N6982" s="12"/>
      <c r="S6982" s="12"/>
      <c r="X6982" s="12"/>
      <c r="AM6982" s="12"/>
    </row>
    <row r="6983" spans="9:39" x14ac:dyDescent="0.3">
      <c r="I6983" s="12"/>
      <c r="N6983" s="12"/>
      <c r="S6983" s="12"/>
      <c r="X6983" s="12"/>
      <c r="AM6983" s="12"/>
    </row>
    <row r="6984" spans="9:39" x14ac:dyDescent="0.3">
      <c r="I6984" s="12"/>
      <c r="N6984" s="12"/>
      <c r="S6984" s="12"/>
      <c r="X6984" s="12"/>
      <c r="AM6984" s="12"/>
    </row>
    <row r="6985" spans="9:39" x14ac:dyDescent="0.3">
      <c r="I6985" s="12"/>
      <c r="N6985" s="12"/>
      <c r="S6985" s="12"/>
      <c r="X6985" s="12"/>
      <c r="AM6985" s="12"/>
    </row>
    <row r="6986" spans="9:39" x14ac:dyDescent="0.3">
      <c r="I6986" s="12"/>
      <c r="N6986" s="12"/>
      <c r="S6986" s="12"/>
      <c r="X6986" s="12"/>
      <c r="AM6986" s="12"/>
    </row>
    <row r="6987" spans="9:39" x14ac:dyDescent="0.3">
      <c r="I6987" s="12"/>
      <c r="N6987" s="12"/>
      <c r="S6987" s="12"/>
      <c r="X6987" s="12"/>
      <c r="AM6987" s="12"/>
    </row>
    <row r="6988" spans="9:39" x14ac:dyDescent="0.3">
      <c r="I6988" s="12"/>
      <c r="N6988" s="12"/>
      <c r="S6988" s="12"/>
      <c r="X6988" s="12"/>
      <c r="AM6988" s="12"/>
    </row>
    <row r="6989" spans="9:39" x14ac:dyDescent="0.3">
      <c r="I6989" s="12"/>
      <c r="N6989" s="12"/>
      <c r="S6989" s="12"/>
      <c r="X6989" s="12"/>
      <c r="AM6989" s="12"/>
    </row>
    <row r="6990" spans="9:39" x14ac:dyDescent="0.3">
      <c r="I6990" s="12"/>
      <c r="N6990" s="12"/>
      <c r="S6990" s="12"/>
      <c r="X6990" s="12"/>
      <c r="AM6990" s="12"/>
    </row>
    <row r="6991" spans="9:39" x14ac:dyDescent="0.3">
      <c r="I6991" s="12"/>
      <c r="N6991" s="12"/>
      <c r="S6991" s="12"/>
      <c r="X6991" s="12"/>
      <c r="AM6991" s="12"/>
    </row>
    <row r="6992" spans="9:39" x14ac:dyDescent="0.3">
      <c r="I6992" s="12"/>
      <c r="N6992" s="12"/>
      <c r="S6992" s="12"/>
      <c r="X6992" s="12"/>
      <c r="AM6992" s="12"/>
    </row>
    <row r="6993" spans="9:39" x14ac:dyDescent="0.3">
      <c r="I6993" s="12"/>
      <c r="N6993" s="12"/>
      <c r="S6993" s="12"/>
      <c r="X6993" s="12"/>
      <c r="AM6993" s="12"/>
    </row>
    <row r="6994" spans="9:39" x14ac:dyDescent="0.3">
      <c r="I6994" s="12"/>
      <c r="N6994" s="12"/>
      <c r="S6994" s="12"/>
      <c r="X6994" s="12"/>
      <c r="AM6994" s="12"/>
    </row>
    <row r="6995" spans="9:39" x14ac:dyDescent="0.3">
      <c r="I6995" s="12"/>
      <c r="N6995" s="12"/>
      <c r="S6995" s="12"/>
      <c r="X6995" s="12"/>
      <c r="AM6995" s="12"/>
    </row>
    <row r="6996" spans="9:39" x14ac:dyDescent="0.3">
      <c r="I6996" s="12"/>
      <c r="N6996" s="12"/>
      <c r="S6996" s="12"/>
      <c r="X6996" s="12"/>
      <c r="AM6996" s="12"/>
    </row>
    <row r="6997" spans="9:39" x14ac:dyDescent="0.3">
      <c r="I6997" s="12"/>
      <c r="N6997" s="12"/>
      <c r="S6997" s="12"/>
      <c r="X6997" s="12"/>
      <c r="AM6997" s="12"/>
    </row>
    <row r="6998" spans="9:39" x14ac:dyDescent="0.3">
      <c r="I6998" s="12"/>
      <c r="N6998" s="12"/>
      <c r="S6998" s="12"/>
      <c r="X6998" s="12"/>
      <c r="AM6998" s="12"/>
    </row>
    <row r="6999" spans="9:39" x14ac:dyDescent="0.3">
      <c r="I6999" s="12"/>
      <c r="N6999" s="12"/>
      <c r="S6999" s="12"/>
      <c r="X6999" s="12"/>
      <c r="AM6999" s="12"/>
    </row>
    <row r="7000" spans="9:39" x14ac:dyDescent="0.3">
      <c r="I7000" s="12"/>
      <c r="N7000" s="12"/>
      <c r="S7000" s="12"/>
      <c r="X7000" s="12"/>
      <c r="AM7000" s="12"/>
    </row>
    <row r="7001" spans="9:39" x14ac:dyDescent="0.3">
      <c r="I7001" s="12"/>
      <c r="N7001" s="12"/>
      <c r="S7001" s="12"/>
      <c r="X7001" s="12"/>
      <c r="AM7001" s="12"/>
    </row>
    <row r="7002" spans="9:39" x14ac:dyDescent="0.3">
      <c r="I7002" s="12"/>
      <c r="N7002" s="12"/>
      <c r="S7002" s="12"/>
      <c r="X7002" s="12"/>
      <c r="AM7002" s="12"/>
    </row>
    <row r="7003" spans="9:39" x14ac:dyDescent="0.3">
      <c r="I7003" s="12"/>
      <c r="N7003" s="12"/>
      <c r="S7003" s="12"/>
      <c r="X7003" s="12"/>
      <c r="AM7003" s="12"/>
    </row>
    <row r="7004" spans="9:39" x14ac:dyDescent="0.3">
      <c r="I7004" s="12"/>
      <c r="N7004" s="12"/>
      <c r="S7004" s="12"/>
      <c r="X7004" s="12"/>
      <c r="AM7004" s="12"/>
    </row>
    <row r="7005" spans="9:39" x14ac:dyDescent="0.3">
      <c r="I7005" s="12"/>
      <c r="N7005" s="12"/>
      <c r="S7005" s="12"/>
      <c r="X7005" s="12"/>
      <c r="AM7005" s="12"/>
    </row>
    <row r="7006" spans="9:39" x14ac:dyDescent="0.3">
      <c r="I7006" s="12"/>
      <c r="N7006" s="12"/>
      <c r="S7006" s="12"/>
      <c r="X7006" s="12"/>
      <c r="AM7006" s="12"/>
    </row>
    <row r="7007" spans="9:39" x14ac:dyDescent="0.3">
      <c r="I7007" s="12"/>
      <c r="N7007" s="12"/>
      <c r="S7007" s="12"/>
      <c r="X7007" s="12"/>
      <c r="AM7007" s="12"/>
    </row>
    <row r="7008" spans="9:39" x14ac:dyDescent="0.3">
      <c r="I7008" s="12"/>
      <c r="N7008" s="12"/>
      <c r="S7008" s="12"/>
      <c r="X7008" s="12"/>
      <c r="AM7008" s="12"/>
    </row>
    <row r="7009" spans="9:39" x14ac:dyDescent="0.3">
      <c r="I7009" s="12"/>
      <c r="N7009" s="12"/>
      <c r="S7009" s="12"/>
      <c r="X7009" s="12"/>
      <c r="AM7009" s="12"/>
    </row>
    <row r="7010" spans="9:39" x14ac:dyDescent="0.3">
      <c r="I7010" s="12"/>
      <c r="N7010" s="12"/>
      <c r="S7010" s="12"/>
      <c r="X7010" s="12"/>
      <c r="AM7010" s="12"/>
    </row>
    <row r="7011" spans="9:39" x14ac:dyDescent="0.3">
      <c r="I7011" s="12"/>
      <c r="N7011" s="12"/>
      <c r="S7011" s="12"/>
      <c r="X7011" s="12"/>
      <c r="AM7011" s="12"/>
    </row>
    <row r="7012" spans="9:39" x14ac:dyDescent="0.3">
      <c r="I7012" s="12"/>
      <c r="N7012" s="12"/>
      <c r="S7012" s="12"/>
      <c r="X7012" s="12"/>
      <c r="AM7012" s="12"/>
    </row>
    <row r="7013" spans="9:39" x14ac:dyDescent="0.3">
      <c r="I7013" s="12"/>
      <c r="N7013" s="12"/>
      <c r="S7013" s="12"/>
      <c r="X7013" s="12"/>
      <c r="AM7013" s="12"/>
    </row>
    <row r="7014" spans="9:39" x14ac:dyDescent="0.3">
      <c r="I7014" s="12"/>
      <c r="N7014" s="12"/>
      <c r="S7014" s="12"/>
      <c r="X7014" s="12"/>
      <c r="AM7014" s="12"/>
    </row>
    <row r="7015" spans="9:39" x14ac:dyDescent="0.3">
      <c r="I7015" s="12"/>
      <c r="N7015" s="12"/>
      <c r="S7015" s="12"/>
      <c r="X7015" s="12"/>
      <c r="AM7015" s="12"/>
    </row>
    <row r="7016" spans="9:39" x14ac:dyDescent="0.3">
      <c r="I7016" s="12"/>
      <c r="N7016" s="12"/>
      <c r="S7016" s="12"/>
      <c r="X7016" s="12"/>
      <c r="AM7016" s="12"/>
    </row>
    <row r="7017" spans="9:39" x14ac:dyDescent="0.3">
      <c r="I7017" s="12"/>
      <c r="N7017" s="12"/>
      <c r="S7017" s="12"/>
      <c r="X7017" s="12"/>
      <c r="AM7017" s="12"/>
    </row>
    <row r="7018" spans="9:39" x14ac:dyDescent="0.3">
      <c r="I7018" s="12"/>
      <c r="N7018" s="12"/>
      <c r="S7018" s="12"/>
      <c r="X7018" s="12"/>
      <c r="AM7018" s="12"/>
    </row>
    <row r="7019" spans="9:39" x14ac:dyDescent="0.3">
      <c r="I7019" s="12"/>
      <c r="N7019" s="12"/>
      <c r="S7019" s="12"/>
      <c r="X7019" s="12"/>
      <c r="AM7019" s="12"/>
    </row>
    <row r="7020" spans="9:39" x14ac:dyDescent="0.3">
      <c r="I7020" s="12"/>
      <c r="N7020" s="12"/>
      <c r="S7020" s="12"/>
      <c r="X7020" s="12"/>
      <c r="AM7020" s="12"/>
    </row>
    <row r="7021" spans="9:39" x14ac:dyDescent="0.3">
      <c r="I7021" s="12"/>
      <c r="N7021" s="12"/>
      <c r="S7021" s="12"/>
      <c r="X7021" s="12"/>
      <c r="AM7021" s="12"/>
    </row>
    <row r="7022" spans="9:39" x14ac:dyDescent="0.3">
      <c r="I7022" s="12"/>
      <c r="N7022" s="12"/>
      <c r="S7022" s="12"/>
      <c r="X7022" s="12"/>
      <c r="AM7022" s="12"/>
    </row>
    <row r="7023" spans="9:39" x14ac:dyDescent="0.3">
      <c r="I7023" s="12"/>
      <c r="N7023" s="12"/>
      <c r="S7023" s="12"/>
      <c r="X7023" s="12"/>
      <c r="AM7023" s="12"/>
    </row>
    <row r="7024" spans="9:39" x14ac:dyDescent="0.3">
      <c r="I7024" s="12"/>
      <c r="N7024" s="12"/>
      <c r="S7024" s="12"/>
      <c r="X7024" s="12"/>
      <c r="AM7024" s="12"/>
    </row>
    <row r="7025" spans="9:39" x14ac:dyDescent="0.3">
      <c r="I7025" s="12"/>
      <c r="N7025" s="12"/>
      <c r="S7025" s="12"/>
      <c r="X7025" s="12"/>
      <c r="AM7025" s="12"/>
    </row>
    <row r="7026" spans="9:39" x14ac:dyDescent="0.3">
      <c r="I7026" s="12"/>
      <c r="N7026" s="12"/>
      <c r="S7026" s="12"/>
      <c r="X7026" s="12"/>
      <c r="AM7026" s="12"/>
    </row>
    <row r="7027" spans="9:39" x14ac:dyDescent="0.3">
      <c r="I7027" s="12"/>
      <c r="N7027" s="12"/>
      <c r="S7027" s="12"/>
      <c r="X7027" s="12"/>
      <c r="AM7027" s="12"/>
    </row>
    <row r="7028" spans="9:39" x14ac:dyDescent="0.3">
      <c r="I7028" s="12"/>
      <c r="N7028" s="12"/>
      <c r="S7028" s="12"/>
      <c r="X7028" s="12"/>
      <c r="AM7028" s="12"/>
    </row>
    <row r="7029" spans="9:39" x14ac:dyDescent="0.3">
      <c r="I7029" s="12"/>
      <c r="N7029" s="12"/>
      <c r="S7029" s="12"/>
      <c r="X7029" s="12"/>
      <c r="AM7029" s="12"/>
    </row>
    <row r="7030" spans="9:39" x14ac:dyDescent="0.3">
      <c r="I7030" s="12"/>
      <c r="N7030" s="12"/>
      <c r="S7030" s="12"/>
      <c r="X7030" s="12"/>
      <c r="AM7030" s="12"/>
    </row>
    <row r="7031" spans="9:39" x14ac:dyDescent="0.3">
      <c r="I7031" s="12"/>
      <c r="N7031" s="12"/>
      <c r="S7031" s="12"/>
      <c r="X7031" s="12"/>
      <c r="AM7031" s="12"/>
    </row>
    <row r="7032" spans="9:39" x14ac:dyDescent="0.3">
      <c r="I7032" s="12"/>
      <c r="N7032" s="12"/>
      <c r="S7032" s="12"/>
      <c r="X7032" s="12"/>
      <c r="AM7032" s="12"/>
    </row>
    <row r="7033" spans="9:39" x14ac:dyDescent="0.3">
      <c r="I7033" s="12"/>
      <c r="N7033" s="12"/>
      <c r="S7033" s="12"/>
      <c r="X7033" s="12"/>
      <c r="AM7033" s="12"/>
    </row>
    <row r="7034" spans="9:39" x14ac:dyDescent="0.3">
      <c r="I7034" s="12"/>
      <c r="N7034" s="12"/>
      <c r="S7034" s="12"/>
      <c r="X7034" s="12"/>
      <c r="AM7034" s="12"/>
    </row>
    <row r="7035" spans="9:39" x14ac:dyDescent="0.3">
      <c r="I7035" s="12"/>
      <c r="N7035" s="12"/>
      <c r="S7035" s="12"/>
      <c r="X7035" s="12"/>
      <c r="AM7035" s="12"/>
    </row>
    <row r="7036" spans="9:39" x14ac:dyDescent="0.3">
      <c r="I7036" s="12"/>
      <c r="N7036" s="12"/>
      <c r="S7036" s="12"/>
      <c r="X7036" s="12"/>
      <c r="AM7036" s="12"/>
    </row>
    <row r="7037" spans="9:39" x14ac:dyDescent="0.3">
      <c r="I7037" s="12"/>
      <c r="N7037" s="12"/>
      <c r="S7037" s="12"/>
      <c r="X7037" s="12"/>
      <c r="AM7037" s="12"/>
    </row>
    <row r="7038" spans="9:39" x14ac:dyDescent="0.3">
      <c r="I7038" s="12"/>
      <c r="N7038" s="12"/>
      <c r="S7038" s="12"/>
      <c r="X7038" s="12"/>
      <c r="AM7038" s="12"/>
    </row>
    <row r="7039" spans="9:39" x14ac:dyDescent="0.3">
      <c r="I7039" s="12"/>
      <c r="N7039" s="12"/>
      <c r="S7039" s="12"/>
      <c r="X7039" s="12"/>
      <c r="AM7039" s="12"/>
    </row>
    <row r="7040" spans="9:39" x14ac:dyDescent="0.3">
      <c r="I7040" s="12"/>
      <c r="N7040" s="12"/>
      <c r="S7040" s="12"/>
      <c r="X7040" s="12"/>
      <c r="AM7040" s="12"/>
    </row>
    <row r="7041" spans="9:39" x14ac:dyDescent="0.3">
      <c r="I7041" s="12"/>
      <c r="N7041" s="12"/>
      <c r="S7041" s="12"/>
      <c r="X7041" s="12"/>
      <c r="AM7041" s="12"/>
    </row>
    <row r="7042" spans="9:39" x14ac:dyDescent="0.3">
      <c r="I7042" s="12"/>
      <c r="N7042" s="12"/>
      <c r="S7042" s="12"/>
      <c r="X7042" s="12"/>
      <c r="AM7042" s="12"/>
    </row>
    <row r="7043" spans="9:39" x14ac:dyDescent="0.3">
      <c r="I7043" s="12"/>
      <c r="N7043" s="12"/>
      <c r="S7043" s="12"/>
      <c r="X7043" s="12"/>
      <c r="AM7043" s="12"/>
    </row>
    <row r="7044" spans="9:39" x14ac:dyDescent="0.3">
      <c r="I7044" s="12"/>
      <c r="N7044" s="12"/>
      <c r="S7044" s="12"/>
      <c r="X7044" s="12"/>
      <c r="AM7044" s="12"/>
    </row>
    <row r="7045" spans="9:39" x14ac:dyDescent="0.3">
      <c r="I7045" s="12"/>
      <c r="N7045" s="12"/>
      <c r="S7045" s="12"/>
      <c r="X7045" s="12"/>
      <c r="AM7045" s="12"/>
    </row>
    <row r="7046" spans="9:39" x14ac:dyDescent="0.3">
      <c r="I7046" s="12"/>
      <c r="N7046" s="12"/>
      <c r="S7046" s="12"/>
      <c r="X7046" s="12"/>
      <c r="AM7046" s="12"/>
    </row>
    <row r="7047" spans="9:39" x14ac:dyDescent="0.3">
      <c r="I7047" s="12"/>
      <c r="N7047" s="12"/>
      <c r="S7047" s="12"/>
      <c r="X7047" s="12"/>
      <c r="AM7047" s="12"/>
    </row>
    <row r="7048" spans="9:39" x14ac:dyDescent="0.3">
      <c r="I7048" s="12"/>
      <c r="N7048" s="12"/>
      <c r="S7048" s="12"/>
      <c r="X7048" s="12"/>
      <c r="AM7048" s="12"/>
    </row>
    <row r="7049" spans="9:39" x14ac:dyDescent="0.3">
      <c r="I7049" s="12"/>
      <c r="N7049" s="12"/>
      <c r="S7049" s="12"/>
      <c r="X7049" s="12"/>
      <c r="AM7049" s="12"/>
    </row>
    <row r="7050" spans="9:39" x14ac:dyDescent="0.3">
      <c r="I7050" s="12"/>
      <c r="N7050" s="12"/>
      <c r="S7050" s="12"/>
      <c r="X7050" s="12"/>
      <c r="AM7050" s="12"/>
    </row>
    <row r="7051" spans="9:39" x14ac:dyDescent="0.3">
      <c r="I7051" s="12"/>
      <c r="N7051" s="12"/>
      <c r="S7051" s="12"/>
      <c r="X7051" s="12"/>
      <c r="AM7051" s="12"/>
    </row>
    <row r="7052" spans="9:39" x14ac:dyDescent="0.3">
      <c r="I7052" s="12"/>
      <c r="N7052" s="12"/>
      <c r="S7052" s="12"/>
      <c r="X7052" s="12"/>
      <c r="AM7052" s="12"/>
    </row>
    <row r="7053" spans="9:39" x14ac:dyDescent="0.3">
      <c r="I7053" s="12"/>
      <c r="N7053" s="12"/>
      <c r="S7053" s="12"/>
      <c r="X7053" s="12"/>
      <c r="AM7053" s="12"/>
    </row>
    <row r="7054" spans="9:39" x14ac:dyDescent="0.3">
      <c r="I7054" s="12"/>
      <c r="N7054" s="12"/>
      <c r="S7054" s="12"/>
      <c r="X7054" s="12"/>
      <c r="AM7054" s="12"/>
    </row>
    <row r="7055" spans="9:39" x14ac:dyDescent="0.3">
      <c r="I7055" s="12"/>
      <c r="N7055" s="12"/>
      <c r="S7055" s="12"/>
      <c r="X7055" s="12"/>
      <c r="AM7055" s="12"/>
    </row>
    <row r="7056" spans="9:39" x14ac:dyDescent="0.3">
      <c r="I7056" s="12"/>
      <c r="N7056" s="12"/>
      <c r="S7056" s="12"/>
      <c r="X7056" s="12"/>
      <c r="AM7056" s="12"/>
    </row>
    <row r="7057" spans="9:39" x14ac:dyDescent="0.3">
      <c r="I7057" s="12"/>
      <c r="N7057" s="12"/>
      <c r="S7057" s="12"/>
      <c r="X7057" s="12"/>
      <c r="AM7057" s="12"/>
    </row>
    <row r="7058" spans="9:39" x14ac:dyDescent="0.3">
      <c r="I7058" s="12"/>
      <c r="N7058" s="12"/>
      <c r="S7058" s="12"/>
      <c r="X7058" s="12"/>
      <c r="AM7058" s="12"/>
    </row>
    <row r="7059" spans="9:39" x14ac:dyDescent="0.3">
      <c r="I7059" s="12"/>
      <c r="N7059" s="12"/>
      <c r="S7059" s="12"/>
      <c r="X7059" s="12"/>
      <c r="AM7059" s="12"/>
    </row>
    <row r="7060" spans="9:39" x14ac:dyDescent="0.3">
      <c r="I7060" s="12"/>
      <c r="N7060" s="12"/>
      <c r="S7060" s="12"/>
      <c r="X7060" s="12"/>
      <c r="AM7060" s="12"/>
    </row>
    <row r="7061" spans="9:39" x14ac:dyDescent="0.3">
      <c r="I7061" s="12"/>
      <c r="N7061" s="12"/>
      <c r="S7061" s="12"/>
      <c r="X7061" s="12"/>
      <c r="AM7061" s="12"/>
    </row>
    <row r="7062" spans="9:39" x14ac:dyDescent="0.3">
      <c r="I7062" s="12"/>
      <c r="N7062" s="12"/>
      <c r="S7062" s="12"/>
      <c r="X7062" s="12"/>
      <c r="AM7062" s="12"/>
    </row>
    <row r="7063" spans="9:39" x14ac:dyDescent="0.3">
      <c r="I7063" s="12"/>
      <c r="N7063" s="12"/>
      <c r="S7063" s="12"/>
      <c r="X7063" s="12"/>
      <c r="AM7063" s="12"/>
    </row>
    <row r="7064" spans="9:39" x14ac:dyDescent="0.3">
      <c r="I7064" s="12"/>
      <c r="N7064" s="12"/>
      <c r="S7064" s="12"/>
      <c r="X7064" s="12"/>
      <c r="AM7064" s="12"/>
    </row>
    <row r="7065" spans="9:39" x14ac:dyDescent="0.3">
      <c r="I7065" s="12"/>
      <c r="N7065" s="12"/>
      <c r="S7065" s="12"/>
      <c r="X7065" s="12"/>
      <c r="AM7065" s="12"/>
    </row>
    <row r="7066" spans="9:39" x14ac:dyDescent="0.3">
      <c r="I7066" s="12"/>
      <c r="N7066" s="12"/>
      <c r="S7066" s="12"/>
      <c r="X7066" s="12"/>
      <c r="AM7066" s="12"/>
    </row>
    <row r="7067" spans="9:39" x14ac:dyDescent="0.3">
      <c r="I7067" s="12"/>
      <c r="N7067" s="12"/>
      <c r="S7067" s="12"/>
      <c r="X7067" s="12"/>
      <c r="AM7067" s="12"/>
    </row>
    <row r="7068" spans="9:39" x14ac:dyDescent="0.3">
      <c r="I7068" s="12"/>
      <c r="N7068" s="12"/>
      <c r="S7068" s="12"/>
      <c r="X7068" s="12"/>
      <c r="AM7068" s="12"/>
    </row>
    <row r="7069" spans="9:39" x14ac:dyDescent="0.3">
      <c r="I7069" s="12"/>
      <c r="N7069" s="12"/>
      <c r="S7069" s="12"/>
      <c r="X7069" s="12"/>
      <c r="AM7069" s="12"/>
    </row>
    <row r="7070" spans="9:39" x14ac:dyDescent="0.3">
      <c r="I7070" s="12"/>
      <c r="N7070" s="12"/>
      <c r="S7070" s="12"/>
      <c r="X7070" s="12"/>
      <c r="AM7070" s="12"/>
    </row>
    <row r="7071" spans="9:39" x14ac:dyDescent="0.3">
      <c r="I7071" s="12"/>
      <c r="N7071" s="12"/>
      <c r="S7071" s="12"/>
      <c r="X7071" s="12"/>
      <c r="AM7071" s="12"/>
    </row>
    <row r="7072" spans="9:39" x14ac:dyDescent="0.3">
      <c r="I7072" s="12"/>
      <c r="N7072" s="12"/>
      <c r="S7072" s="12"/>
      <c r="X7072" s="12"/>
      <c r="AM7072" s="12"/>
    </row>
    <row r="7073" spans="9:39" x14ac:dyDescent="0.3">
      <c r="I7073" s="12"/>
      <c r="N7073" s="12"/>
      <c r="S7073" s="12"/>
      <c r="X7073" s="12"/>
      <c r="AM7073" s="12"/>
    </row>
    <row r="7074" spans="9:39" x14ac:dyDescent="0.3">
      <c r="I7074" s="12"/>
      <c r="N7074" s="12"/>
      <c r="S7074" s="12"/>
      <c r="X7074" s="12"/>
      <c r="AM7074" s="12"/>
    </row>
    <row r="7075" spans="9:39" x14ac:dyDescent="0.3">
      <c r="I7075" s="12"/>
      <c r="N7075" s="12"/>
      <c r="S7075" s="12"/>
      <c r="X7075" s="12"/>
      <c r="AM7075" s="12"/>
    </row>
    <row r="7076" spans="9:39" x14ac:dyDescent="0.3">
      <c r="I7076" s="12"/>
      <c r="N7076" s="12"/>
      <c r="S7076" s="12"/>
      <c r="X7076" s="12"/>
      <c r="AM7076" s="12"/>
    </row>
    <row r="7077" spans="9:39" x14ac:dyDescent="0.3">
      <c r="I7077" s="12"/>
      <c r="N7077" s="12"/>
      <c r="S7077" s="12"/>
      <c r="X7077" s="12"/>
      <c r="AM7077" s="12"/>
    </row>
    <row r="7078" spans="9:39" x14ac:dyDescent="0.3">
      <c r="I7078" s="12"/>
      <c r="N7078" s="12"/>
      <c r="S7078" s="12"/>
      <c r="X7078" s="12"/>
      <c r="AM7078" s="12"/>
    </row>
    <row r="7079" spans="9:39" x14ac:dyDescent="0.3">
      <c r="I7079" s="12"/>
      <c r="N7079" s="12"/>
      <c r="S7079" s="12"/>
      <c r="X7079" s="12"/>
      <c r="AM7079" s="12"/>
    </row>
    <row r="7080" spans="9:39" x14ac:dyDescent="0.3">
      <c r="I7080" s="12"/>
      <c r="N7080" s="12"/>
      <c r="S7080" s="12"/>
      <c r="X7080" s="12"/>
      <c r="AM7080" s="12"/>
    </row>
    <row r="7081" spans="9:39" x14ac:dyDescent="0.3">
      <c r="I7081" s="12"/>
      <c r="N7081" s="12"/>
      <c r="S7081" s="12"/>
      <c r="X7081" s="12"/>
      <c r="AM7081" s="12"/>
    </row>
    <row r="7082" spans="9:39" x14ac:dyDescent="0.3">
      <c r="I7082" s="12"/>
      <c r="N7082" s="12"/>
      <c r="S7082" s="12"/>
      <c r="X7082" s="12"/>
      <c r="AM7082" s="12"/>
    </row>
    <row r="7083" spans="9:39" x14ac:dyDescent="0.3">
      <c r="I7083" s="12"/>
      <c r="N7083" s="12"/>
      <c r="S7083" s="12"/>
      <c r="X7083" s="12"/>
      <c r="AM7083" s="12"/>
    </row>
    <row r="7084" spans="9:39" x14ac:dyDescent="0.3">
      <c r="I7084" s="12"/>
      <c r="N7084" s="12"/>
      <c r="S7084" s="12"/>
      <c r="X7084" s="12"/>
      <c r="AM7084" s="12"/>
    </row>
    <row r="7085" spans="9:39" x14ac:dyDescent="0.3">
      <c r="I7085" s="12"/>
      <c r="N7085" s="12"/>
      <c r="S7085" s="12"/>
      <c r="X7085" s="12"/>
      <c r="AM7085" s="12"/>
    </row>
    <row r="7086" spans="9:39" x14ac:dyDescent="0.3">
      <c r="I7086" s="12"/>
      <c r="N7086" s="12"/>
      <c r="S7086" s="12"/>
      <c r="X7086" s="12"/>
      <c r="AM7086" s="12"/>
    </row>
    <row r="7087" spans="9:39" x14ac:dyDescent="0.3">
      <c r="I7087" s="12"/>
      <c r="N7087" s="12"/>
      <c r="S7087" s="12"/>
      <c r="X7087" s="12"/>
      <c r="AM7087" s="12"/>
    </row>
    <row r="7088" spans="9:39" x14ac:dyDescent="0.3">
      <c r="I7088" s="12"/>
      <c r="N7088" s="12"/>
      <c r="S7088" s="12"/>
      <c r="X7088" s="12"/>
      <c r="AM7088" s="12"/>
    </row>
    <row r="7089" spans="9:39" x14ac:dyDescent="0.3">
      <c r="I7089" s="12"/>
      <c r="N7089" s="12"/>
      <c r="S7089" s="12"/>
      <c r="X7089" s="12"/>
      <c r="AM7089" s="12"/>
    </row>
    <row r="7090" spans="9:39" x14ac:dyDescent="0.3">
      <c r="I7090" s="12"/>
      <c r="N7090" s="12"/>
      <c r="S7090" s="12"/>
      <c r="X7090" s="12"/>
      <c r="AM7090" s="12"/>
    </row>
    <row r="7091" spans="9:39" x14ac:dyDescent="0.3">
      <c r="I7091" s="12"/>
      <c r="N7091" s="12"/>
      <c r="S7091" s="12"/>
      <c r="X7091" s="12"/>
      <c r="AM7091" s="12"/>
    </row>
    <row r="7092" spans="9:39" x14ac:dyDescent="0.3">
      <c r="I7092" s="12"/>
      <c r="N7092" s="12"/>
      <c r="S7092" s="12"/>
      <c r="X7092" s="12"/>
      <c r="AM7092" s="12"/>
    </row>
    <row r="7093" spans="9:39" x14ac:dyDescent="0.3">
      <c r="I7093" s="12"/>
      <c r="N7093" s="12"/>
      <c r="S7093" s="12"/>
      <c r="X7093" s="12"/>
      <c r="AM7093" s="12"/>
    </row>
    <row r="7094" spans="9:39" x14ac:dyDescent="0.3">
      <c r="I7094" s="12"/>
      <c r="N7094" s="12"/>
      <c r="S7094" s="12"/>
      <c r="X7094" s="12"/>
      <c r="AM7094" s="12"/>
    </row>
    <row r="7095" spans="9:39" x14ac:dyDescent="0.3">
      <c r="I7095" s="12"/>
      <c r="N7095" s="12"/>
      <c r="S7095" s="12"/>
      <c r="X7095" s="12"/>
      <c r="AM7095" s="12"/>
    </row>
    <row r="7096" spans="9:39" x14ac:dyDescent="0.3">
      <c r="I7096" s="12"/>
      <c r="N7096" s="12"/>
      <c r="S7096" s="12"/>
      <c r="X7096" s="12"/>
      <c r="AM7096" s="12"/>
    </row>
    <row r="7097" spans="9:39" x14ac:dyDescent="0.3">
      <c r="I7097" s="12"/>
      <c r="N7097" s="12"/>
      <c r="S7097" s="12"/>
      <c r="X7097" s="12"/>
      <c r="AM7097" s="12"/>
    </row>
    <row r="7098" spans="9:39" x14ac:dyDescent="0.3">
      <c r="I7098" s="12"/>
      <c r="N7098" s="12"/>
      <c r="S7098" s="12"/>
      <c r="X7098" s="12"/>
      <c r="AM7098" s="12"/>
    </row>
    <row r="7099" spans="9:39" x14ac:dyDescent="0.3">
      <c r="I7099" s="12"/>
      <c r="N7099" s="12"/>
      <c r="S7099" s="12"/>
      <c r="X7099" s="12"/>
      <c r="AM7099" s="12"/>
    </row>
    <row r="7100" spans="9:39" x14ac:dyDescent="0.3">
      <c r="I7100" s="12"/>
      <c r="N7100" s="12"/>
      <c r="S7100" s="12"/>
      <c r="X7100" s="12"/>
      <c r="AM7100" s="12"/>
    </row>
    <row r="7101" spans="9:39" x14ac:dyDescent="0.3">
      <c r="I7101" s="12"/>
      <c r="N7101" s="12"/>
      <c r="S7101" s="12"/>
      <c r="X7101" s="12"/>
      <c r="AM7101" s="12"/>
    </row>
    <row r="7102" spans="9:39" x14ac:dyDescent="0.3">
      <c r="I7102" s="12"/>
      <c r="N7102" s="12"/>
      <c r="S7102" s="12"/>
      <c r="X7102" s="12"/>
      <c r="AM7102" s="12"/>
    </row>
    <row r="7103" spans="9:39" x14ac:dyDescent="0.3">
      <c r="I7103" s="12"/>
      <c r="N7103" s="12"/>
      <c r="S7103" s="12"/>
      <c r="X7103" s="12"/>
      <c r="AM7103" s="12"/>
    </row>
    <row r="7104" spans="9:39" x14ac:dyDescent="0.3">
      <c r="I7104" s="12"/>
      <c r="N7104" s="12"/>
      <c r="S7104" s="12"/>
      <c r="X7104" s="12"/>
      <c r="AM7104" s="12"/>
    </row>
    <row r="7105" spans="9:39" x14ac:dyDescent="0.3">
      <c r="I7105" s="12"/>
      <c r="N7105" s="12"/>
      <c r="S7105" s="12"/>
      <c r="X7105" s="12"/>
      <c r="AM7105" s="12"/>
    </row>
    <row r="7106" spans="9:39" x14ac:dyDescent="0.3">
      <c r="I7106" s="12"/>
      <c r="N7106" s="12"/>
      <c r="S7106" s="12"/>
      <c r="X7106" s="12"/>
      <c r="AM7106" s="12"/>
    </row>
    <row r="7107" spans="9:39" x14ac:dyDescent="0.3">
      <c r="I7107" s="12"/>
      <c r="N7107" s="12"/>
      <c r="S7107" s="12"/>
      <c r="X7107" s="12"/>
      <c r="AM7107" s="12"/>
    </row>
    <row r="7108" spans="9:39" x14ac:dyDescent="0.3">
      <c r="I7108" s="12"/>
      <c r="N7108" s="12"/>
      <c r="S7108" s="12"/>
      <c r="X7108" s="12"/>
      <c r="AM7108" s="12"/>
    </row>
    <row r="7109" spans="9:39" x14ac:dyDescent="0.3">
      <c r="I7109" s="12"/>
      <c r="N7109" s="12"/>
      <c r="S7109" s="12"/>
      <c r="X7109" s="12"/>
      <c r="AM7109" s="12"/>
    </row>
    <row r="7110" spans="9:39" x14ac:dyDescent="0.3">
      <c r="I7110" s="12"/>
      <c r="N7110" s="12"/>
      <c r="S7110" s="12"/>
      <c r="X7110" s="12"/>
      <c r="AM7110" s="12"/>
    </row>
    <row r="7111" spans="9:39" x14ac:dyDescent="0.3">
      <c r="I7111" s="12"/>
      <c r="N7111" s="12"/>
      <c r="S7111" s="12"/>
      <c r="X7111" s="12"/>
      <c r="AM7111" s="12"/>
    </row>
    <row r="7112" spans="9:39" x14ac:dyDescent="0.3">
      <c r="I7112" s="12"/>
      <c r="N7112" s="12"/>
      <c r="S7112" s="12"/>
      <c r="X7112" s="12"/>
      <c r="AM7112" s="12"/>
    </row>
    <row r="7113" spans="9:39" x14ac:dyDescent="0.3">
      <c r="I7113" s="12"/>
      <c r="N7113" s="12"/>
      <c r="S7113" s="12"/>
      <c r="X7113" s="12"/>
      <c r="AM7113" s="12"/>
    </row>
    <row r="7114" spans="9:39" x14ac:dyDescent="0.3">
      <c r="I7114" s="12"/>
      <c r="N7114" s="12"/>
      <c r="S7114" s="12"/>
      <c r="X7114" s="12"/>
      <c r="AM7114" s="12"/>
    </row>
    <row r="7115" spans="9:39" x14ac:dyDescent="0.3">
      <c r="I7115" s="12"/>
      <c r="N7115" s="12"/>
      <c r="S7115" s="12"/>
      <c r="X7115" s="12"/>
      <c r="AM7115" s="12"/>
    </row>
    <row r="7116" spans="9:39" x14ac:dyDescent="0.3">
      <c r="I7116" s="12"/>
      <c r="N7116" s="12"/>
      <c r="S7116" s="12"/>
      <c r="X7116" s="12"/>
      <c r="AM7116" s="12"/>
    </row>
    <row r="7117" spans="9:39" x14ac:dyDescent="0.3">
      <c r="I7117" s="12"/>
      <c r="N7117" s="12"/>
      <c r="S7117" s="12"/>
      <c r="X7117" s="12"/>
      <c r="AM7117" s="12"/>
    </row>
    <row r="7118" spans="9:39" x14ac:dyDescent="0.3">
      <c r="I7118" s="12"/>
      <c r="N7118" s="12"/>
      <c r="S7118" s="12"/>
      <c r="X7118" s="12"/>
      <c r="AM7118" s="12"/>
    </row>
    <row r="7119" spans="9:39" x14ac:dyDescent="0.3">
      <c r="I7119" s="12"/>
      <c r="N7119" s="12"/>
      <c r="S7119" s="12"/>
      <c r="X7119" s="12"/>
      <c r="AM7119" s="12"/>
    </row>
    <row r="7120" spans="9:39" x14ac:dyDescent="0.3">
      <c r="I7120" s="12"/>
      <c r="N7120" s="12"/>
      <c r="S7120" s="12"/>
      <c r="X7120" s="12"/>
      <c r="AM7120" s="12"/>
    </row>
    <row r="7121" spans="9:39" x14ac:dyDescent="0.3">
      <c r="I7121" s="12"/>
      <c r="N7121" s="12"/>
      <c r="S7121" s="12"/>
      <c r="X7121" s="12"/>
      <c r="AM7121" s="12"/>
    </row>
    <row r="7122" spans="9:39" x14ac:dyDescent="0.3">
      <c r="I7122" s="12"/>
      <c r="N7122" s="12"/>
      <c r="S7122" s="12"/>
      <c r="X7122" s="12"/>
      <c r="AM7122" s="12"/>
    </row>
    <row r="7123" spans="9:39" x14ac:dyDescent="0.3">
      <c r="I7123" s="12"/>
      <c r="N7123" s="12"/>
      <c r="S7123" s="12"/>
      <c r="X7123" s="12"/>
      <c r="AM7123" s="12"/>
    </row>
    <row r="7124" spans="9:39" x14ac:dyDescent="0.3">
      <c r="I7124" s="12"/>
      <c r="N7124" s="12"/>
      <c r="S7124" s="12"/>
      <c r="X7124" s="12"/>
      <c r="AM7124" s="12"/>
    </row>
    <row r="7125" spans="9:39" x14ac:dyDescent="0.3">
      <c r="I7125" s="12"/>
      <c r="N7125" s="12"/>
      <c r="S7125" s="12"/>
      <c r="X7125" s="12"/>
      <c r="AM7125" s="12"/>
    </row>
    <row r="7126" spans="9:39" x14ac:dyDescent="0.3">
      <c r="I7126" s="12"/>
      <c r="N7126" s="12"/>
      <c r="S7126" s="12"/>
      <c r="X7126" s="12"/>
      <c r="AM7126" s="12"/>
    </row>
    <row r="7127" spans="9:39" x14ac:dyDescent="0.3">
      <c r="I7127" s="12"/>
      <c r="N7127" s="12"/>
      <c r="S7127" s="12"/>
      <c r="X7127" s="12"/>
      <c r="AM7127" s="12"/>
    </row>
    <row r="7128" spans="9:39" x14ac:dyDescent="0.3">
      <c r="I7128" s="12"/>
      <c r="N7128" s="12"/>
      <c r="S7128" s="12"/>
      <c r="X7128" s="12"/>
      <c r="AM7128" s="12"/>
    </row>
    <row r="7129" spans="9:39" x14ac:dyDescent="0.3">
      <c r="I7129" s="12"/>
      <c r="N7129" s="12"/>
      <c r="S7129" s="12"/>
      <c r="X7129" s="12"/>
      <c r="AM7129" s="12"/>
    </row>
    <row r="7130" spans="9:39" x14ac:dyDescent="0.3">
      <c r="I7130" s="12"/>
      <c r="N7130" s="12"/>
      <c r="S7130" s="12"/>
      <c r="X7130" s="12"/>
      <c r="AM7130" s="12"/>
    </row>
    <row r="7131" spans="9:39" x14ac:dyDescent="0.3">
      <c r="I7131" s="12"/>
      <c r="N7131" s="12"/>
      <c r="S7131" s="12"/>
      <c r="X7131" s="12"/>
      <c r="AM7131" s="12"/>
    </row>
    <row r="7132" spans="9:39" x14ac:dyDescent="0.3">
      <c r="I7132" s="12"/>
      <c r="N7132" s="12"/>
      <c r="S7132" s="12"/>
      <c r="X7132" s="12"/>
      <c r="AM7132" s="12"/>
    </row>
    <row r="7133" spans="9:39" x14ac:dyDescent="0.3">
      <c r="I7133" s="12"/>
      <c r="N7133" s="12"/>
      <c r="S7133" s="12"/>
      <c r="X7133" s="12"/>
      <c r="AM7133" s="12"/>
    </row>
    <row r="7134" spans="9:39" x14ac:dyDescent="0.3">
      <c r="I7134" s="12"/>
      <c r="N7134" s="12"/>
      <c r="S7134" s="12"/>
      <c r="X7134" s="12"/>
      <c r="AM7134" s="12"/>
    </row>
    <row r="7135" spans="9:39" x14ac:dyDescent="0.3">
      <c r="I7135" s="12"/>
      <c r="N7135" s="12"/>
      <c r="S7135" s="12"/>
      <c r="X7135" s="12"/>
      <c r="AM7135" s="12"/>
    </row>
    <row r="7136" spans="9:39" x14ac:dyDescent="0.3">
      <c r="I7136" s="12"/>
      <c r="N7136" s="12"/>
      <c r="S7136" s="12"/>
      <c r="X7136" s="12"/>
      <c r="AM7136" s="12"/>
    </row>
    <row r="7137" spans="9:39" x14ac:dyDescent="0.3">
      <c r="I7137" s="12"/>
      <c r="N7137" s="12"/>
      <c r="S7137" s="12"/>
      <c r="X7137" s="12"/>
      <c r="AM7137" s="12"/>
    </row>
    <row r="7138" spans="9:39" x14ac:dyDescent="0.3">
      <c r="I7138" s="12"/>
      <c r="N7138" s="12"/>
      <c r="S7138" s="12"/>
      <c r="X7138" s="12"/>
      <c r="AM7138" s="12"/>
    </row>
    <row r="7139" spans="9:39" x14ac:dyDescent="0.3">
      <c r="I7139" s="12"/>
      <c r="N7139" s="12"/>
      <c r="S7139" s="12"/>
      <c r="X7139" s="12"/>
      <c r="AM7139" s="12"/>
    </row>
    <row r="7140" spans="9:39" x14ac:dyDescent="0.3">
      <c r="I7140" s="12"/>
      <c r="N7140" s="12"/>
      <c r="S7140" s="12"/>
      <c r="X7140" s="12"/>
      <c r="AM7140" s="12"/>
    </row>
    <row r="7141" spans="9:39" x14ac:dyDescent="0.3">
      <c r="I7141" s="12"/>
      <c r="N7141" s="12"/>
      <c r="S7141" s="12"/>
      <c r="X7141" s="12"/>
      <c r="AM7141" s="12"/>
    </row>
    <row r="7142" spans="9:39" x14ac:dyDescent="0.3">
      <c r="I7142" s="12"/>
      <c r="N7142" s="12"/>
      <c r="S7142" s="12"/>
      <c r="X7142" s="12"/>
      <c r="AM7142" s="12"/>
    </row>
    <row r="7143" spans="9:39" x14ac:dyDescent="0.3">
      <c r="I7143" s="12"/>
      <c r="N7143" s="12"/>
      <c r="S7143" s="12"/>
      <c r="X7143" s="12"/>
      <c r="AM7143" s="12"/>
    </row>
    <row r="7144" spans="9:39" x14ac:dyDescent="0.3">
      <c r="I7144" s="12"/>
      <c r="N7144" s="12"/>
      <c r="S7144" s="12"/>
      <c r="X7144" s="12"/>
      <c r="AM7144" s="12"/>
    </row>
    <row r="7145" spans="9:39" x14ac:dyDescent="0.3">
      <c r="I7145" s="12"/>
      <c r="N7145" s="12"/>
      <c r="S7145" s="12"/>
      <c r="X7145" s="12"/>
      <c r="AM7145" s="12"/>
    </row>
    <row r="7146" spans="9:39" x14ac:dyDescent="0.3">
      <c r="I7146" s="12"/>
      <c r="N7146" s="12"/>
      <c r="S7146" s="12"/>
      <c r="X7146" s="12"/>
      <c r="AM7146" s="12"/>
    </row>
    <row r="7147" spans="9:39" x14ac:dyDescent="0.3">
      <c r="I7147" s="12"/>
      <c r="N7147" s="12"/>
      <c r="S7147" s="12"/>
      <c r="X7147" s="12"/>
      <c r="AM7147" s="12"/>
    </row>
    <row r="7148" spans="9:39" x14ac:dyDescent="0.3">
      <c r="I7148" s="12"/>
      <c r="N7148" s="12"/>
      <c r="S7148" s="12"/>
      <c r="X7148" s="12"/>
      <c r="AM7148" s="12"/>
    </row>
    <row r="7149" spans="9:39" x14ac:dyDescent="0.3">
      <c r="I7149" s="12"/>
      <c r="N7149" s="12"/>
      <c r="S7149" s="12"/>
      <c r="X7149" s="12"/>
      <c r="AM7149" s="12"/>
    </row>
    <row r="7150" spans="9:39" x14ac:dyDescent="0.3">
      <c r="I7150" s="12"/>
      <c r="N7150" s="12"/>
      <c r="S7150" s="12"/>
      <c r="X7150" s="12"/>
      <c r="AM7150" s="12"/>
    </row>
    <row r="7151" spans="9:39" x14ac:dyDescent="0.3">
      <c r="I7151" s="12"/>
      <c r="N7151" s="12"/>
      <c r="S7151" s="12"/>
      <c r="X7151" s="12"/>
      <c r="AM7151" s="12"/>
    </row>
    <row r="7152" spans="9:39" x14ac:dyDescent="0.3">
      <c r="I7152" s="12"/>
      <c r="N7152" s="12"/>
      <c r="S7152" s="12"/>
      <c r="X7152" s="12"/>
      <c r="AM7152" s="12"/>
    </row>
    <row r="7153" spans="9:39" x14ac:dyDescent="0.3">
      <c r="I7153" s="12"/>
      <c r="N7153" s="12"/>
      <c r="S7153" s="12"/>
      <c r="X7153" s="12"/>
      <c r="AM7153" s="12"/>
    </row>
    <row r="7154" spans="9:39" x14ac:dyDescent="0.3">
      <c r="I7154" s="12"/>
      <c r="N7154" s="12"/>
      <c r="S7154" s="12"/>
      <c r="X7154" s="12"/>
      <c r="AM7154" s="12"/>
    </row>
    <row r="7155" spans="9:39" x14ac:dyDescent="0.3">
      <c r="I7155" s="12"/>
      <c r="N7155" s="12"/>
      <c r="S7155" s="12"/>
      <c r="X7155" s="12"/>
      <c r="AM7155" s="12"/>
    </row>
    <row r="7156" spans="9:39" x14ac:dyDescent="0.3">
      <c r="I7156" s="12"/>
      <c r="N7156" s="12"/>
      <c r="S7156" s="12"/>
      <c r="X7156" s="12"/>
      <c r="AM7156" s="12"/>
    </row>
    <row r="7157" spans="9:39" x14ac:dyDescent="0.3">
      <c r="I7157" s="12"/>
      <c r="N7157" s="12"/>
      <c r="S7157" s="12"/>
      <c r="X7157" s="12"/>
      <c r="AM7157" s="12"/>
    </row>
    <row r="7158" spans="9:39" x14ac:dyDescent="0.3">
      <c r="I7158" s="12"/>
      <c r="N7158" s="12"/>
      <c r="S7158" s="12"/>
      <c r="X7158" s="12"/>
      <c r="AM7158" s="12"/>
    </row>
    <row r="7159" spans="9:39" x14ac:dyDescent="0.3">
      <c r="I7159" s="12"/>
      <c r="N7159" s="12"/>
      <c r="S7159" s="12"/>
      <c r="X7159" s="12"/>
      <c r="AM7159" s="12"/>
    </row>
    <row r="7160" spans="9:39" x14ac:dyDescent="0.3">
      <c r="I7160" s="12"/>
      <c r="N7160" s="12"/>
      <c r="S7160" s="12"/>
      <c r="X7160" s="12"/>
      <c r="AM7160" s="12"/>
    </row>
    <row r="7161" spans="9:39" x14ac:dyDescent="0.3">
      <c r="I7161" s="12"/>
      <c r="N7161" s="12"/>
      <c r="S7161" s="12"/>
      <c r="X7161" s="12"/>
      <c r="AM7161" s="12"/>
    </row>
    <row r="7162" spans="9:39" x14ac:dyDescent="0.3">
      <c r="I7162" s="12"/>
      <c r="N7162" s="12"/>
      <c r="S7162" s="12"/>
      <c r="X7162" s="12"/>
      <c r="AM7162" s="12"/>
    </row>
    <row r="7163" spans="9:39" x14ac:dyDescent="0.3">
      <c r="I7163" s="12"/>
      <c r="N7163" s="12"/>
      <c r="S7163" s="12"/>
      <c r="X7163" s="12"/>
      <c r="AM7163" s="12"/>
    </row>
    <row r="7164" spans="9:39" x14ac:dyDescent="0.3">
      <c r="I7164" s="12"/>
      <c r="N7164" s="12"/>
      <c r="S7164" s="12"/>
      <c r="X7164" s="12"/>
      <c r="AM7164" s="12"/>
    </row>
    <row r="7165" spans="9:39" x14ac:dyDescent="0.3">
      <c r="I7165" s="12"/>
      <c r="N7165" s="12"/>
      <c r="S7165" s="12"/>
      <c r="X7165" s="12"/>
      <c r="AM7165" s="12"/>
    </row>
    <row r="7166" spans="9:39" x14ac:dyDescent="0.3">
      <c r="I7166" s="12"/>
      <c r="N7166" s="12"/>
      <c r="S7166" s="12"/>
      <c r="X7166" s="12"/>
      <c r="AM7166" s="12"/>
    </row>
    <row r="7167" spans="9:39" x14ac:dyDescent="0.3">
      <c r="I7167" s="12"/>
      <c r="N7167" s="12"/>
      <c r="S7167" s="12"/>
      <c r="X7167" s="12"/>
      <c r="AM7167" s="12"/>
    </row>
    <row r="7168" spans="9:39" x14ac:dyDescent="0.3">
      <c r="I7168" s="12"/>
      <c r="N7168" s="12"/>
      <c r="S7168" s="12"/>
      <c r="X7168" s="12"/>
      <c r="AM7168" s="12"/>
    </row>
    <row r="7169" spans="9:39" x14ac:dyDescent="0.3">
      <c r="I7169" s="12"/>
      <c r="N7169" s="12"/>
      <c r="S7169" s="12"/>
      <c r="X7169" s="12"/>
      <c r="AM7169" s="12"/>
    </row>
    <row r="7170" spans="9:39" x14ac:dyDescent="0.3">
      <c r="I7170" s="12"/>
      <c r="N7170" s="12"/>
      <c r="S7170" s="12"/>
      <c r="X7170" s="12"/>
      <c r="AM7170" s="12"/>
    </row>
    <row r="7171" spans="9:39" x14ac:dyDescent="0.3">
      <c r="I7171" s="12"/>
      <c r="N7171" s="12"/>
      <c r="S7171" s="12"/>
      <c r="X7171" s="12"/>
      <c r="AM7171" s="12"/>
    </row>
    <row r="7172" spans="9:39" x14ac:dyDescent="0.3">
      <c r="I7172" s="12"/>
      <c r="N7172" s="12"/>
      <c r="S7172" s="12"/>
      <c r="X7172" s="12"/>
      <c r="AM7172" s="12"/>
    </row>
    <row r="7173" spans="9:39" x14ac:dyDescent="0.3">
      <c r="I7173" s="12"/>
      <c r="N7173" s="12"/>
      <c r="S7173" s="12"/>
      <c r="X7173" s="12"/>
      <c r="AM7173" s="12"/>
    </row>
    <row r="7174" spans="9:39" x14ac:dyDescent="0.3">
      <c r="I7174" s="12"/>
      <c r="N7174" s="12"/>
      <c r="S7174" s="12"/>
      <c r="X7174" s="12"/>
      <c r="AM7174" s="12"/>
    </row>
    <row r="7175" spans="9:39" x14ac:dyDescent="0.3">
      <c r="I7175" s="12"/>
      <c r="N7175" s="12"/>
      <c r="S7175" s="12"/>
      <c r="X7175" s="12"/>
      <c r="AM7175" s="12"/>
    </row>
    <row r="7176" spans="9:39" x14ac:dyDescent="0.3">
      <c r="I7176" s="12"/>
      <c r="N7176" s="12"/>
      <c r="S7176" s="12"/>
      <c r="X7176" s="12"/>
      <c r="AM7176" s="12"/>
    </row>
    <row r="7177" spans="9:39" x14ac:dyDescent="0.3">
      <c r="I7177" s="12"/>
      <c r="N7177" s="12"/>
      <c r="S7177" s="12"/>
      <c r="X7177" s="12"/>
      <c r="AM7177" s="12"/>
    </row>
    <row r="7178" spans="9:39" x14ac:dyDescent="0.3">
      <c r="I7178" s="12"/>
      <c r="N7178" s="12"/>
      <c r="S7178" s="12"/>
      <c r="X7178" s="12"/>
      <c r="AM7178" s="12"/>
    </row>
    <row r="7179" spans="9:39" x14ac:dyDescent="0.3">
      <c r="I7179" s="12"/>
      <c r="N7179" s="12"/>
      <c r="S7179" s="12"/>
      <c r="X7179" s="12"/>
      <c r="AM7179" s="12"/>
    </row>
    <row r="7180" spans="9:39" x14ac:dyDescent="0.3">
      <c r="I7180" s="12"/>
      <c r="N7180" s="12"/>
      <c r="S7180" s="12"/>
      <c r="X7180" s="12"/>
      <c r="AM7180" s="12"/>
    </row>
    <row r="7181" spans="9:39" x14ac:dyDescent="0.3">
      <c r="I7181" s="12"/>
      <c r="N7181" s="12"/>
      <c r="S7181" s="12"/>
      <c r="X7181" s="12"/>
      <c r="AM7181" s="12"/>
    </row>
    <row r="7182" spans="9:39" x14ac:dyDescent="0.3">
      <c r="I7182" s="12"/>
      <c r="N7182" s="12"/>
      <c r="S7182" s="12"/>
      <c r="X7182" s="12"/>
      <c r="AM7182" s="12"/>
    </row>
    <row r="7183" spans="9:39" x14ac:dyDescent="0.3">
      <c r="I7183" s="12"/>
      <c r="N7183" s="12"/>
      <c r="S7183" s="12"/>
      <c r="X7183" s="12"/>
      <c r="AM7183" s="12"/>
    </row>
    <row r="7184" spans="9:39" x14ac:dyDescent="0.3">
      <c r="I7184" s="12"/>
      <c r="N7184" s="12"/>
      <c r="S7184" s="12"/>
      <c r="X7184" s="12"/>
      <c r="AM7184" s="12"/>
    </row>
    <row r="7185" spans="9:39" x14ac:dyDescent="0.3">
      <c r="I7185" s="12"/>
      <c r="N7185" s="12"/>
      <c r="S7185" s="12"/>
      <c r="X7185" s="12"/>
      <c r="AM7185" s="12"/>
    </row>
    <row r="7186" spans="9:39" x14ac:dyDescent="0.3">
      <c r="I7186" s="12"/>
      <c r="N7186" s="12"/>
      <c r="S7186" s="12"/>
      <c r="X7186" s="12"/>
      <c r="AM7186" s="12"/>
    </row>
    <row r="7187" spans="9:39" x14ac:dyDescent="0.3">
      <c r="I7187" s="12"/>
      <c r="N7187" s="12"/>
      <c r="S7187" s="12"/>
      <c r="X7187" s="12"/>
      <c r="AM7187" s="12"/>
    </row>
    <row r="7188" spans="9:39" x14ac:dyDescent="0.3">
      <c r="I7188" s="12"/>
      <c r="N7188" s="12"/>
      <c r="S7188" s="12"/>
      <c r="X7188" s="12"/>
      <c r="AM7188" s="12"/>
    </row>
    <row r="7189" spans="9:39" x14ac:dyDescent="0.3">
      <c r="I7189" s="12"/>
      <c r="N7189" s="12"/>
      <c r="S7189" s="12"/>
      <c r="X7189" s="12"/>
      <c r="AM7189" s="12"/>
    </row>
    <row r="7190" spans="9:39" x14ac:dyDescent="0.3">
      <c r="I7190" s="12"/>
      <c r="N7190" s="12"/>
      <c r="S7190" s="12"/>
      <c r="X7190" s="12"/>
      <c r="AM7190" s="12"/>
    </row>
    <row r="7191" spans="9:39" x14ac:dyDescent="0.3">
      <c r="I7191" s="12"/>
      <c r="N7191" s="12"/>
      <c r="S7191" s="12"/>
      <c r="X7191" s="12"/>
      <c r="AM7191" s="12"/>
    </row>
    <row r="7192" spans="9:39" x14ac:dyDescent="0.3">
      <c r="I7192" s="12"/>
      <c r="N7192" s="12"/>
      <c r="S7192" s="12"/>
      <c r="X7192" s="12"/>
      <c r="AM7192" s="12"/>
    </row>
    <row r="7193" spans="9:39" x14ac:dyDescent="0.3">
      <c r="I7193" s="12"/>
      <c r="N7193" s="12"/>
      <c r="S7193" s="12"/>
      <c r="X7193" s="12"/>
      <c r="AM7193" s="12"/>
    </row>
    <row r="7194" spans="9:39" x14ac:dyDescent="0.3">
      <c r="I7194" s="12"/>
      <c r="N7194" s="12"/>
      <c r="S7194" s="12"/>
      <c r="X7194" s="12"/>
      <c r="AM7194" s="12"/>
    </row>
    <row r="7195" spans="9:39" x14ac:dyDescent="0.3">
      <c r="I7195" s="12"/>
      <c r="N7195" s="12"/>
      <c r="S7195" s="12"/>
      <c r="X7195" s="12"/>
      <c r="AM7195" s="12"/>
    </row>
    <row r="7196" spans="9:39" x14ac:dyDescent="0.3">
      <c r="I7196" s="12"/>
      <c r="N7196" s="12"/>
      <c r="S7196" s="12"/>
      <c r="X7196" s="12"/>
      <c r="AM7196" s="12"/>
    </row>
    <row r="7197" spans="9:39" x14ac:dyDescent="0.3">
      <c r="I7197" s="12"/>
      <c r="N7197" s="12"/>
      <c r="S7197" s="12"/>
      <c r="X7197" s="12"/>
      <c r="AM7197" s="12"/>
    </row>
    <row r="7198" spans="9:39" x14ac:dyDescent="0.3">
      <c r="I7198" s="12"/>
      <c r="N7198" s="12"/>
      <c r="S7198" s="12"/>
      <c r="X7198" s="12"/>
      <c r="AM7198" s="12"/>
    </row>
    <row r="7199" spans="9:39" x14ac:dyDescent="0.3">
      <c r="I7199" s="12"/>
      <c r="N7199" s="12"/>
      <c r="S7199" s="12"/>
      <c r="X7199" s="12"/>
      <c r="AM7199" s="12"/>
    </row>
    <row r="7200" spans="9:39" x14ac:dyDescent="0.3">
      <c r="I7200" s="12"/>
      <c r="N7200" s="12"/>
      <c r="S7200" s="12"/>
      <c r="X7200" s="12"/>
      <c r="AM7200" s="12"/>
    </row>
    <row r="7201" spans="9:39" x14ac:dyDescent="0.3">
      <c r="I7201" s="12"/>
      <c r="N7201" s="12"/>
      <c r="S7201" s="12"/>
      <c r="X7201" s="12"/>
      <c r="AM7201" s="12"/>
    </row>
    <row r="7202" spans="9:39" x14ac:dyDescent="0.3">
      <c r="I7202" s="12"/>
      <c r="N7202" s="12"/>
      <c r="S7202" s="12"/>
      <c r="X7202" s="12"/>
      <c r="AM7202" s="12"/>
    </row>
    <row r="7203" spans="9:39" x14ac:dyDescent="0.3">
      <c r="I7203" s="12"/>
      <c r="N7203" s="12"/>
      <c r="S7203" s="12"/>
      <c r="X7203" s="12"/>
      <c r="AM7203" s="12"/>
    </row>
    <row r="7204" spans="9:39" x14ac:dyDescent="0.3">
      <c r="I7204" s="12"/>
      <c r="N7204" s="12"/>
      <c r="S7204" s="12"/>
      <c r="X7204" s="12"/>
      <c r="AM7204" s="12"/>
    </row>
    <row r="7205" spans="9:39" x14ac:dyDescent="0.3">
      <c r="I7205" s="12"/>
      <c r="N7205" s="12"/>
      <c r="S7205" s="12"/>
      <c r="X7205" s="12"/>
      <c r="AM7205" s="12"/>
    </row>
    <row r="7206" spans="9:39" x14ac:dyDescent="0.3">
      <c r="I7206" s="12"/>
      <c r="N7206" s="12"/>
      <c r="S7206" s="12"/>
      <c r="X7206" s="12"/>
      <c r="AM7206" s="12"/>
    </row>
    <row r="7207" spans="9:39" x14ac:dyDescent="0.3">
      <c r="I7207" s="12"/>
      <c r="N7207" s="12"/>
      <c r="S7207" s="12"/>
      <c r="X7207" s="12"/>
      <c r="AM7207" s="12"/>
    </row>
    <row r="7208" spans="9:39" x14ac:dyDescent="0.3">
      <c r="I7208" s="12"/>
      <c r="N7208" s="12"/>
      <c r="S7208" s="12"/>
      <c r="X7208" s="12"/>
      <c r="AM7208" s="12"/>
    </row>
    <row r="7209" spans="9:39" x14ac:dyDescent="0.3">
      <c r="I7209" s="12"/>
      <c r="N7209" s="12"/>
      <c r="S7209" s="12"/>
      <c r="X7209" s="12"/>
      <c r="AM7209" s="12"/>
    </row>
    <row r="7210" spans="9:39" x14ac:dyDescent="0.3">
      <c r="I7210" s="12"/>
      <c r="N7210" s="12"/>
      <c r="S7210" s="12"/>
      <c r="X7210" s="12"/>
      <c r="AM7210" s="12"/>
    </row>
    <row r="7211" spans="9:39" x14ac:dyDescent="0.3">
      <c r="I7211" s="12"/>
      <c r="N7211" s="12"/>
      <c r="S7211" s="12"/>
      <c r="X7211" s="12"/>
      <c r="AM7211" s="12"/>
    </row>
    <row r="7212" spans="9:39" x14ac:dyDescent="0.3">
      <c r="I7212" s="12"/>
      <c r="N7212" s="12"/>
      <c r="S7212" s="12"/>
      <c r="X7212" s="12"/>
      <c r="AM7212" s="12"/>
    </row>
    <row r="7213" spans="9:39" x14ac:dyDescent="0.3">
      <c r="I7213" s="12"/>
      <c r="N7213" s="12"/>
      <c r="S7213" s="12"/>
      <c r="X7213" s="12"/>
      <c r="AM7213" s="12"/>
    </row>
    <row r="7214" spans="9:39" x14ac:dyDescent="0.3">
      <c r="I7214" s="12"/>
      <c r="N7214" s="12"/>
      <c r="S7214" s="12"/>
      <c r="X7214" s="12"/>
      <c r="AM7214" s="12"/>
    </row>
    <row r="7215" spans="9:39" x14ac:dyDescent="0.3">
      <c r="I7215" s="12"/>
      <c r="N7215" s="12"/>
      <c r="S7215" s="12"/>
      <c r="X7215" s="12"/>
      <c r="AM7215" s="12"/>
    </row>
    <row r="7216" spans="9:39" x14ac:dyDescent="0.3">
      <c r="I7216" s="12"/>
      <c r="N7216" s="12"/>
      <c r="S7216" s="12"/>
      <c r="X7216" s="12"/>
      <c r="AM7216" s="12"/>
    </row>
    <row r="7217" spans="9:39" x14ac:dyDescent="0.3">
      <c r="I7217" s="12"/>
      <c r="N7217" s="12"/>
      <c r="S7217" s="12"/>
      <c r="X7217" s="12"/>
      <c r="AM7217" s="12"/>
    </row>
    <row r="7218" spans="9:39" x14ac:dyDescent="0.3">
      <c r="I7218" s="12"/>
      <c r="N7218" s="12"/>
      <c r="S7218" s="12"/>
      <c r="X7218" s="12"/>
      <c r="AM7218" s="12"/>
    </row>
    <row r="7219" spans="9:39" x14ac:dyDescent="0.3">
      <c r="I7219" s="12"/>
      <c r="N7219" s="12"/>
      <c r="S7219" s="12"/>
      <c r="X7219" s="12"/>
      <c r="AM7219" s="12"/>
    </row>
    <row r="7220" spans="9:39" x14ac:dyDescent="0.3">
      <c r="I7220" s="12"/>
      <c r="N7220" s="12"/>
      <c r="S7220" s="12"/>
      <c r="X7220" s="12"/>
      <c r="AM7220" s="12"/>
    </row>
    <row r="7221" spans="9:39" x14ac:dyDescent="0.3">
      <c r="I7221" s="12"/>
      <c r="N7221" s="12"/>
      <c r="S7221" s="12"/>
      <c r="X7221" s="12"/>
      <c r="AM7221" s="12"/>
    </row>
    <row r="7222" spans="9:39" x14ac:dyDescent="0.3">
      <c r="I7222" s="12"/>
      <c r="N7222" s="12"/>
      <c r="S7222" s="12"/>
      <c r="X7222" s="12"/>
      <c r="AM7222" s="12"/>
    </row>
    <row r="7223" spans="9:39" x14ac:dyDescent="0.3">
      <c r="I7223" s="12"/>
      <c r="N7223" s="12"/>
      <c r="S7223" s="12"/>
      <c r="X7223" s="12"/>
      <c r="AM7223" s="12"/>
    </row>
    <row r="7224" spans="9:39" x14ac:dyDescent="0.3">
      <c r="I7224" s="12"/>
      <c r="N7224" s="12"/>
      <c r="S7224" s="12"/>
      <c r="X7224" s="12"/>
      <c r="AM7224" s="12"/>
    </row>
    <row r="7225" spans="9:39" x14ac:dyDescent="0.3">
      <c r="I7225" s="12"/>
      <c r="N7225" s="12"/>
      <c r="S7225" s="12"/>
      <c r="X7225" s="12"/>
      <c r="AM7225" s="12"/>
    </row>
    <row r="7226" spans="9:39" x14ac:dyDescent="0.3">
      <c r="I7226" s="12"/>
      <c r="N7226" s="12"/>
      <c r="S7226" s="12"/>
      <c r="X7226" s="12"/>
      <c r="AM7226" s="12"/>
    </row>
    <row r="7227" spans="9:39" x14ac:dyDescent="0.3">
      <c r="I7227" s="12"/>
      <c r="N7227" s="12"/>
      <c r="S7227" s="12"/>
      <c r="X7227" s="12"/>
      <c r="AM7227" s="12"/>
    </row>
    <row r="7228" spans="9:39" x14ac:dyDescent="0.3">
      <c r="I7228" s="12"/>
      <c r="N7228" s="12"/>
      <c r="S7228" s="12"/>
      <c r="X7228" s="12"/>
      <c r="AM7228" s="12"/>
    </row>
    <row r="7229" spans="9:39" x14ac:dyDescent="0.3">
      <c r="I7229" s="12"/>
      <c r="N7229" s="12"/>
      <c r="S7229" s="12"/>
      <c r="X7229" s="12"/>
      <c r="AM7229" s="12"/>
    </row>
    <row r="7230" spans="9:39" x14ac:dyDescent="0.3">
      <c r="I7230" s="12"/>
      <c r="N7230" s="12"/>
      <c r="S7230" s="12"/>
      <c r="X7230" s="12"/>
      <c r="AM7230" s="12"/>
    </row>
    <row r="7231" spans="9:39" x14ac:dyDescent="0.3">
      <c r="I7231" s="12"/>
      <c r="N7231" s="12"/>
      <c r="S7231" s="12"/>
      <c r="X7231" s="12"/>
      <c r="AM7231" s="12"/>
    </row>
    <row r="7232" spans="9:39" x14ac:dyDescent="0.3">
      <c r="I7232" s="12"/>
      <c r="N7232" s="12"/>
      <c r="S7232" s="12"/>
      <c r="X7232" s="12"/>
      <c r="AM7232" s="12"/>
    </row>
    <row r="7233" spans="9:39" x14ac:dyDescent="0.3">
      <c r="I7233" s="12"/>
      <c r="N7233" s="12"/>
      <c r="S7233" s="12"/>
      <c r="X7233" s="12"/>
      <c r="AM7233" s="12"/>
    </row>
    <row r="7234" spans="9:39" x14ac:dyDescent="0.3">
      <c r="I7234" s="12"/>
      <c r="N7234" s="12"/>
      <c r="S7234" s="12"/>
      <c r="X7234" s="12"/>
      <c r="AM7234" s="12"/>
    </row>
    <row r="7235" spans="9:39" x14ac:dyDescent="0.3">
      <c r="I7235" s="12"/>
      <c r="N7235" s="12"/>
      <c r="S7235" s="12"/>
      <c r="X7235" s="12"/>
      <c r="AM7235" s="12"/>
    </row>
    <row r="7236" spans="9:39" x14ac:dyDescent="0.3">
      <c r="I7236" s="12"/>
      <c r="N7236" s="12"/>
      <c r="S7236" s="12"/>
      <c r="X7236" s="12"/>
      <c r="AM7236" s="12"/>
    </row>
    <row r="7237" spans="9:39" x14ac:dyDescent="0.3">
      <c r="I7237" s="12"/>
      <c r="N7237" s="12"/>
      <c r="S7237" s="12"/>
      <c r="X7237" s="12"/>
      <c r="AM7237" s="12"/>
    </row>
    <row r="7238" spans="9:39" x14ac:dyDescent="0.3">
      <c r="I7238" s="12"/>
      <c r="N7238" s="12"/>
      <c r="S7238" s="12"/>
      <c r="X7238" s="12"/>
      <c r="AM7238" s="12"/>
    </row>
    <row r="7239" spans="9:39" x14ac:dyDescent="0.3">
      <c r="I7239" s="12"/>
      <c r="N7239" s="12"/>
      <c r="S7239" s="12"/>
      <c r="X7239" s="12"/>
      <c r="AM7239" s="12"/>
    </row>
    <row r="7240" spans="9:39" x14ac:dyDescent="0.3">
      <c r="I7240" s="12"/>
      <c r="N7240" s="12"/>
      <c r="S7240" s="12"/>
      <c r="X7240" s="12"/>
      <c r="AM7240" s="12"/>
    </row>
    <row r="7241" spans="9:39" x14ac:dyDescent="0.3">
      <c r="I7241" s="12"/>
      <c r="N7241" s="12"/>
      <c r="S7241" s="12"/>
      <c r="X7241" s="12"/>
      <c r="AM7241" s="12"/>
    </row>
    <row r="7242" spans="9:39" x14ac:dyDescent="0.3">
      <c r="I7242" s="12"/>
      <c r="N7242" s="12"/>
      <c r="S7242" s="12"/>
      <c r="X7242" s="12"/>
      <c r="AM7242" s="12"/>
    </row>
    <row r="7243" spans="9:39" x14ac:dyDescent="0.3">
      <c r="I7243" s="12"/>
      <c r="N7243" s="12"/>
      <c r="S7243" s="12"/>
      <c r="X7243" s="12"/>
      <c r="AM7243" s="12"/>
    </row>
    <row r="7244" spans="9:39" x14ac:dyDescent="0.3">
      <c r="I7244" s="12"/>
      <c r="N7244" s="12"/>
      <c r="S7244" s="12"/>
      <c r="X7244" s="12"/>
      <c r="AM7244" s="12"/>
    </row>
    <row r="7245" spans="9:39" x14ac:dyDescent="0.3">
      <c r="I7245" s="12"/>
      <c r="N7245" s="12"/>
      <c r="S7245" s="12"/>
      <c r="X7245" s="12"/>
      <c r="AM7245" s="12"/>
    </row>
    <row r="7246" spans="9:39" x14ac:dyDescent="0.3">
      <c r="I7246" s="12"/>
      <c r="N7246" s="12"/>
      <c r="S7246" s="12"/>
      <c r="X7246" s="12"/>
      <c r="AM7246" s="12"/>
    </row>
    <row r="7247" spans="9:39" x14ac:dyDescent="0.3">
      <c r="I7247" s="12"/>
      <c r="N7247" s="12"/>
      <c r="S7247" s="12"/>
      <c r="X7247" s="12"/>
      <c r="AM7247" s="12"/>
    </row>
    <row r="7248" spans="9:39" x14ac:dyDescent="0.3">
      <c r="I7248" s="12"/>
      <c r="N7248" s="12"/>
      <c r="S7248" s="12"/>
      <c r="X7248" s="12"/>
      <c r="AM7248" s="12"/>
    </row>
    <row r="7249" spans="9:39" x14ac:dyDescent="0.3">
      <c r="I7249" s="12"/>
      <c r="N7249" s="12"/>
      <c r="S7249" s="12"/>
      <c r="X7249" s="12"/>
      <c r="AM7249" s="12"/>
    </row>
    <row r="7250" spans="9:39" x14ac:dyDescent="0.3">
      <c r="I7250" s="12"/>
      <c r="N7250" s="12"/>
      <c r="S7250" s="12"/>
      <c r="X7250" s="12"/>
      <c r="AM7250" s="12"/>
    </row>
    <row r="7251" spans="9:39" x14ac:dyDescent="0.3">
      <c r="I7251" s="12"/>
      <c r="N7251" s="12"/>
      <c r="S7251" s="12"/>
      <c r="X7251" s="12"/>
      <c r="AM7251" s="12"/>
    </row>
    <row r="7252" spans="9:39" x14ac:dyDescent="0.3">
      <c r="I7252" s="12"/>
      <c r="N7252" s="12"/>
      <c r="S7252" s="12"/>
      <c r="X7252" s="12"/>
      <c r="AM7252" s="12"/>
    </row>
    <row r="7253" spans="9:39" x14ac:dyDescent="0.3">
      <c r="I7253" s="12"/>
      <c r="N7253" s="12"/>
      <c r="S7253" s="12"/>
      <c r="X7253" s="12"/>
      <c r="AM7253" s="12"/>
    </row>
    <row r="7254" spans="9:39" x14ac:dyDescent="0.3">
      <c r="I7254" s="12"/>
      <c r="N7254" s="12"/>
      <c r="S7254" s="12"/>
      <c r="X7254" s="12"/>
      <c r="AM7254" s="12"/>
    </row>
    <row r="7255" spans="9:39" x14ac:dyDescent="0.3">
      <c r="I7255" s="12"/>
      <c r="N7255" s="12"/>
      <c r="S7255" s="12"/>
      <c r="X7255" s="12"/>
      <c r="AM7255" s="12"/>
    </row>
    <row r="7256" spans="9:39" x14ac:dyDescent="0.3">
      <c r="I7256" s="12"/>
      <c r="N7256" s="12"/>
      <c r="S7256" s="12"/>
      <c r="X7256" s="12"/>
      <c r="AM7256" s="12"/>
    </row>
    <row r="7257" spans="9:39" x14ac:dyDescent="0.3">
      <c r="I7257" s="12"/>
      <c r="N7257" s="12"/>
      <c r="S7257" s="12"/>
      <c r="X7257" s="12"/>
      <c r="AM7257" s="12"/>
    </row>
    <row r="7258" spans="9:39" x14ac:dyDescent="0.3">
      <c r="I7258" s="12"/>
      <c r="N7258" s="12"/>
      <c r="S7258" s="12"/>
      <c r="X7258" s="12"/>
      <c r="AM7258" s="12"/>
    </row>
    <row r="7259" spans="9:39" x14ac:dyDescent="0.3">
      <c r="I7259" s="12"/>
      <c r="N7259" s="12"/>
      <c r="S7259" s="12"/>
      <c r="X7259" s="12"/>
      <c r="AM7259" s="12"/>
    </row>
    <row r="7260" spans="9:39" x14ac:dyDescent="0.3">
      <c r="I7260" s="12"/>
      <c r="N7260" s="12"/>
      <c r="S7260" s="12"/>
      <c r="X7260" s="12"/>
      <c r="AM7260" s="12"/>
    </row>
    <row r="7261" spans="9:39" x14ac:dyDescent="0.3">
      <c r="I7261" s="12"/>
      <c r="N7261" s="12"/>
      <c r="S7261" s="12"/>
      <c r="X7261" s="12"/>
      <c r="AM7261" s="12"/>
    </row>
    <row r="7262" spans="9:39" x14ac:dyDescent="0.3">
      <c r="I7262" s="12"/>
      <c r="N7262" s="12"/>
      <c r="S7262" s="12"/>
      <c r="X7262" s="12"/>
      <c r="AM7262" s="12"/>
    </row>
    <row r="7263" spans="9:39" x14ac:dyDescent="0.3">
      <c r="I7263" s="12"/>
      <c r="N7263" s="12"/>
      <c r="S7263" s="12"/>
      <c r="X7263" s="12"/>
      <c r="AM7263" s="12"/>
    </row>
    <row r="7264" spans="9:39" x14ac:dyDescent="0.3">
      <c r="I7264" s="12"/>
      <c r="N7264" s="12"/>
      <c r="S7264" s="12"/>
      <c r="X7264" s="12"/>
      <c r="AM7264" s="12"/>
    </row>
    <row r="7265" spans="9:39" x14ac:dyDescent="0.3">
      <c r="I7265" s="12"/>
      <c r="N7265" s="12"/>
      <c r="S7265" s="12"/>
      <c r="X7265" s="12"/>
      <c r="AM7265" s="12"/>
    </row>
    <row r="7266" spans="9:39" x14ac:dyDescent="0.3">
      <c r="I7266" s="12"/>
      <c r="N7266" s="12"/>
      <c r="S7266" s="12"/>
      <c r="X7266" s="12"/>
      <c r="AM7266" s="12"/>
    </row>
    <row r="7267" spans="9:39" x14ac:dyDescent="0.3">
      <c r="I7267" s="12"/>
      <c r="N7267" s="12"/>
      <c r="S7267" s="12"/>
      <c r="X7267" s="12"/>
      <c r="AM7267" s="12"/>
    </row>
    <row r="7268" spans="9:39" x14ac:dyDescent="0.3">
      <c r="I7268" s="12"/>
      <c r="N7268" s="12"/>
      <c r="S7268" s="12"/>
      <c r="X7268" s="12"/>
      <c r="AM7268" s="12"/>
    </row>
    <row r="7269" spans="9:39" x14ac:dyDescent="0.3">
      <c r="I7269" s="12"/>
      <c r="N7269" s="12"/>
      <c r="S7269" s="12"/>
      <c r="X7269" s="12"/>
      <c r="AM7269" s="12"/>
    </row>
    <row r="7270" spans="9:39" x14ac:dyDescent="0.3">
      <c r="I7270" s="12"/>
      <c r="N7270" s="12"/>
      <c r="S7270" s="12"/>
      <c r="X7270" s="12"/>
      <c r="AM7270" s="12"/>
    </row>
    <row r="7271" spans="9:39" x14ac:dyDescent="0.3">
      <c r="I7271" s="12"/>
      <c r="N7271" s="12"/>
      <c r="S7271" s="12"/>
      <c r="X7271" s="12"/>
      <c r="AM7271" s="12"/>
    </row>
    <row r="7272" spans="9:39" x14ac:dyDescent="0.3">
      <c r="I7272" s="12"/>
      <c r="N7272" s="12"/>
      <c r="S7272" s="12"/>
      <c r="X7272" s="12"/>
      <c r="AM7272" s="12"/>
    </row>
    <row r="7273" spans="9:39" x14ac:dyDescent="0.3">
      <c r="I7273" s="12"/>
      <c r="N7273" s="12"/>
      <c r="S7273" s="12"/>
      <c r="X7273" s="12"/>
      <c r="AM7273" s="12"/>
    </row>
    <row r="7274" spans="9:39" x14ac:dyDescent="0.3">
      <c r="I7274" s="12"/>
      <c r="N7274" s="12"/>
      <c r="S7274" s="12"/>
      <c r="X7274" s="12"/>
      <c r="AM7274" s="12"/>
    </row>
    <row r="7275" spans="9:39" x14ac:dyDescent="0.3">
      <c r="I7275" s="12"/>
      <c r="N7275" s="12"/>
      <c r="S7275" s="12"/>
      <c r="X7275" s="12"/>
      <c r="AM7275" s="12"/>
    </row>
    <row r="7276" spans="9:39" x14ac:dyDescent="0.3">
      <c r="I7276" s="12"/>
      <c r="N7276" s="12"/>
      <c r="S7276" s="12"/>
      <c r="X7276" s="12"/>
      <c r="AM7276" s="12"/>
    </row>
    <row r="7277" spans="9:39" x14ac:dyDescent="0.3">
      <c r="I7277" s="12"/>
      <c r="N7277" s="12"/>
      <c r="S7277" s="12"/>
      <c r="X7277" s="12"/>
      <c r="AM7277" s="12"/>
    </row>
    <row r="7278" spans="9:39" x14ac:dyDescent="0.3">
      <c r="I7278" s="12"/>
      <c r="N7278" s="12"/>
      <c r="S7278" s="12"/>
      <c r="X7278" s="12"/>
      <c r="AM7278" s="12"/>
    </row>
    <row r="7279" spans="9:39" x14ac:dyDescent="0.3">
      <c r="I7279" s="12"/>
      <c r="N7279" s="12"/>
      <c r="S7279" s="12"/>
      <c r="X7279" s="12"/>
      <c r="AM7279" s="12"/>
    </row>
    <row r="7280" spans="9:39" x14ac:dyDescent="0.3">
      <c r="I7280" s="12"/>
      <c r="N7280" s="12"/>
      <c r="S7280" s="12"/>
      <c r="X7280" s="12"/>
      <c r="AM7280" s="12"/>
    </row>
    <row r="7281" spans="9:39" x14ac:dyDescent="0.3">
      <c r="I7281" s="12"/>
      <c r="N7281" s="12"/>
      <c r="S7281" s="12"/>
      <c r="X7281" s="12"/>
      <c r="AM7281" s="12"/>
    </row>
    <row r="7282" spans="9:39" x14ac:dyDescent="0.3">
      <c r="I7282" s="12"/>
      <c r="N7282" s="12"/>
      <c r="S7282" s="12"/>
      <c r="X7282" s="12"/>
      <c r="AM7282" s="12"/>
    </row>
    <row r="7283" spans="9:39" x14ac:dyDescent="0.3">
      <c r="I7283" s="12"/>
      <c r="N7283" s="12"/>
      <c r="S7283" s="12"/>
      <c r="X7283" s="12"/>
      <c r="AM7283" s="12"/>
    </row>
    <row r="7284" spans="9:39" x14ac:dyDescent="0.3">
      <c r="I7284" s="12"/>
      <c r="N7284" s="12"/>
      <c r="S7284" s="12"/>
      <c r="X7284" s="12"/>
      <c r="AM7284" s="12"/>
    </row>
    <row r="7285" spans="9:39" x14ac:dyDescent="0.3">
      <c r="I7285" s="12"/>
      <c r="N7285" s="12"/>
      <c r="S7285" s="12"/>
      <c r="X7285" s="12"/>
      <c r="AM7285" s="12"/>
    </row>
    <row r="7286" spans="9:39" x14ac:dyDescent="0.3">
      <c r="I7286" s="12"/>
      <c r="N7286" s="12"/>
      <c r="S7286" s="12"/>
      <c r="X7286" s="12"/>
      <c r="AM7286" s="12"/>
    </row>
    <row r="7287" spans="9:39" x14ac:dyDescent="0.3">
      <c r="I7287" s="12"/>
      <c r="N7287" s="12"/>
      <c r="S7287" s="12"/>
      <c r="X7287" s="12"/>
      <c r="AM7287" s="12"/>
    </row>
    <row r="7288" spans="9:39" x14ac:dyDescent="0.3">
      <c r="I7288" s="12"/>
      <c r="N7288" s="12"/>
      <c r="S7288" s="12"/>
      <c r="X7288" s="12"/>
      <c r="AM7288" s="12"/>
    </row>
    <row r="7289" spans="9:39" x14ac:dyDescent="0.3">
      <c r="I7289" s="12"/>
      <c r="N7289" s="12"/>
      <c r="S7289" s="12"/>
      <c r="X7289" s="12"/>
      <c r="AM7289" s="12"/>
    </row>
    <row r="7290" spans="9:39" x14ac:dyDescent="0.3">
      <c r="I7290" s="12"/>
      <c r="N7290" s="12"/>
      <c r="S7290" s="12"/>
      <c r="X7290" s="12"/>
      <c r="AM7290" s="12"/>
    </row>
    <row r="7291" spans="9:39" x14ac:dyDescent="0.3">
      <c r="I7291" s="12"/>
      <c r="N7291" s="12"/>
      <c r="S7291" s="12"/>
      <c r="X7291" s="12"/>
      <c r="AM7291" s="12"/>
    </row>
    <row r="7292" spans="9:39" x14ac:dyDescent="0.3">
      <c r="I7292" s="12"/>
      <c r="N7292" s="12"/>
      <c r="S7292" s="12"/>
      <c r="X7292" s="12"/>
      <c r="AM7292" s="12"/>
    </row>
    <row r="7293" spans="9:39" x14ac:dyDescent="0.3">
      <c r="I7293" s="12"/>
      <c r="N7293" s="12"/>
      <c r="S7293" s="12"/>
      <c r="X7293" s="12"/>
      <c r="AM7293" s="12"/>
    </row>
    <row r="7294" spans="9:39" x14ac:dyDescent="0.3">
      <c r="I7294" s="12"/>
      <c r="N7294" s="12"/>
      <c r="S7294" s="12"/>
      <c r="X7294" s="12"/>
      <c r="AM7294" s="12"/>
    </row>
    <row r="7295" spans="9:39" x14ac:dyDescent="0.3">
      <c r="I7295" s="12"/>
      <c r="N7295" s="12"/>
      <c r="S7295" s="12"/>
      <c r="X7295" s="12"/>
      <c r="AM7295" s="12"/>
    </row>
    <row r="7296" spans="9:39" x14ac:dyDescent="0.3">
      <c r="I7296" s="12"/>
      <c r="N7296" s="12"/>
      <c r="S7296" s="12"/>
      <c r="X7296" s="12"/>
      <c r="AM7296" s="12"/>
    </row>
    <row r="7297" spans="9:39" x14ac:dyDescent="0.3">
      <c r="I7297" s="12"/>
      <c r="N7297" s="12"/>
      <c r="S7297" s="12"/>
      <c r="X7297" s="12"/>
      <c r="AM7297" s="12"/>
    </row>
    <row r="7298" spans="9:39" x14ac:dyDescent="0.3">
      <c r="I7298" s="12"/>
      <c r="N7298" s="12"/>
      <c r="S7298" s="12"/>
      <c r="X7298" s="12"/>
      <c r="AM7298" s="12"/>
    </row>
    <row r="7299" spans="9:39" x14ac:dyDescent="0.3">
      <c r="I7299" s="12"/>
      <c r="N7299" s="12"/>
      <c r="S7299" s="12"/>
      <c r="X7299" s="12"/>
      <c r="AM7299" s="12"/>
    </row>
    <row r="7300" spans="9:39" x14ac:dyDescent="0.3">
      <c r="I7300" s="12"/>
      <c r="N7300" s="12"/>
      <c r="S7300" s="12"/>
      <c r="X7300" s="12"/>
      <c r="AM7300" s="12"/>
    </row>
    <row r="7301" spans="9:39" x14ac:dyDescent="0.3">
      <c r="I7301" s="12"/>
      <c r="N7301" s="12"/>
      <c r="S7301" s="12"/>
      <c r="X7301" s="12"/>
      <c r="AM7301" s="12"/>
    </row>
    <row r="7302" spans="9:39" x14ac:dyDescent="0.3">
      <c r="I7302" s="12"/>
      <c r="N7302" s="12"/>
      <c r="S7302" s="12"/>
      <c r="X7302" s="12"/>
      <c r="AM7302" s="12"/>
    </row>
    <row r="7303" spans="9:39" x14ac:dyDescent="0.3">
      <c r="I7303" s="12"/>
      <c r="N7303" s="12"/>
      <c r="S7303" s="12"/>
      <c r="X7303" s="12"/>
      <c r="AM7303" s="12"/>
    </row>
    <row r="7304" spans="9:39" x14ac:dyDescent="0.3">
      <c r="I7304" s="12"/>
      <c r="N7304" s="12"/>
      <c r="S7304" s="12"/>
      <c r="X7304" s="12"/>
      <c r="AM7304" s="12"/>
    </row>
    <row r="7305" spans="9:39" x14ac:dyDescent="0.3">
      <c r="I7305" s="12"/>
      <c r="N7305" s="12"/>
      <c r="S7305" s="12"/>
      <c r="X7305" s="12"/>
      <c r="AM7305" s="12"/>
    </row>
    <row r="7306" spans="9:39" x14ac:dyDescent="0.3">
      <c r="I7306" s="12"/>
      <c r="N7306" s="12"/>
      <c r="S7306" s="12"/>
      <c r="X7306" s="12"/>
      <c r="AM7306" s="12"/>
    </row>
    <row r="7307" spans="9:39" x14ac:dyDescent="0.3">
      <c r="I7307" s="12"/>
      <c r="N7307" s="12"/>
      <c r="S7307" s="12"/>
      <c r="X7307" s="12"/>
      <c r="AM7307" s="12"/>
    </row>
    <row r="7308" spans="9:39" x14ac:dyDescent="0.3">
      <c r="I7308" s="12"/>
      <c r="N7308" s="12"/>
      <c r="S7308" s="12"/>
      <c r="X7308" s="12"/>
      <c r="AM7308" s="12"/>
    </row>
    <row r="7309" spans="9:39" x14ac:dyDescent="0.3">
      <c r="I7309" s="12"/>
      <c r="N7309" s="12"/>
      <c r="S7309" s="12"/>
      <c r="X7309" s="12"/>
      <c r="AM7309" s="12"/>
    </row>
    <row r="7310" spans="9:39" x14ac:dyDescent="0.3">
      <c r="I7310" s="12"/>
      <c r="N7310" s="12"/>
      <c r="S7310" s="12"/>
      <c r="X7310" s="12"/>
      <c r="AM7310" s="12"/>
    </row>
    <row r="7311" spans="9:39" x14ac:dyDescent="0.3">
      <c r="I7311" s="12"/>
      <c r="N7311" s="12"/>
      <c r="S7311" s="12"/>
      <c r="X7311" s="12"/>
      <c r="AM7311" s="12"/>
    </row>
    <row r="7312" spans="9:39" x14ac:dyDescent="0.3">
      <c r="I7312" s="12"/>
      <c r="N7312" s="12"/>
      <c r="S7312" s="12"/>
      <c r="X7312" s="12"/>
      <c r="AM7312" s="12"/>
    </row>
    <row r="7313" spans="9:39" x14ac:dyDescent="0.3">
      <c r="I7313" s="12"/>
      <c r="N7313" s="12"/>
      <c r="S7313" s="12"/>
      <c r="X7313" s="12"/>
      <c r="AM7313" s="12"/>
    </row>
    <row r="7314" spans="9:39" x14ac:dyDescent="0.3">
      <c r="I7314" s="12"/>
      <c r="N7314" s="12"/>
      <c r="S7314" s="12"/>
      <c r="X7314" s="12"/>
      <c r="AM7314" s="12"/>
    </row>
    <row r="7315" spans="9:39" x14ac:dyDescent="0.3">
      <c r="I7315" s="12"/>
      <c r="N7315" s="12"/>
      <c r="S7315" s="12"/>
      <c r="X7315" s="12"/>
      <c r="AM7315" s="12"/>
    </row>
    <row r="7316" spans="9:39" x14ac:dyDescent="0.3">
      <c r="I7316" s="12"/>
      <c r="N7316" s="12"/>
      <c r="S7316" s="12"/>
      <c r="X7316" s="12"/>
      <c r="AM7316" s="12"/>
    </row>
    <row r="7317" spans="9:39" x14ac:dyDescent="0.3">
      <c r="I7317" s="12"/>
      <c r="N7317" s="12"/>
      <c r="S7317" s="12"/>
      <c r="X7317" s="12"/>
      <c r="AM7317" s="12"/>
    </row>
    <row r="7318" spans="9:39" x14ac:dyDescent="0.3">
      <c r="I7318" s="12"/>
      <c r="N7318" s="12"/>
      <c r="S7318" s="12"/>
      <c r="X7318" s="12"/>
      <c r="AM7318" s="12"/>
    </row>
    <row r="7319" spans="9:39" x14ac:dyDescent="0.3">
      <c r="I7319" s="12"/>
      <c r="N7319" s="12"/>
      <c r="S7319" s="12"/>
      <c r="X7319" s="12"/>
      <c r="AM7319" s="12"/>
    </row>
    <row r="7320" spans="9:39" x14ac:dyDescent="0.3">
      <c r="I7320" s="12"/>
      <c r="N7320" s="12"/>
      <c r="S7320" s="12"/>
      <c r="X7320" s="12"/>
      <c r="AM7320" s="12"/>
    </row>
    <row r="7321" spans="9:39" x14ac:dyDescent="0.3">
      <c r="I7321" s="12"/>
      <c r="N7321" s="12"/>
      <c r="S7321" s="12"/>
      <c r="X7321" s="12"/>
      <c r="AM7321" s="12"/>
    </row>
    <row r="7322" spans="9:39" x14ac:dyDescent="0.3">
      <c r="I7322" s="12"/>
      <c r="N7322" s="12"/>
      <c r="S7322" s="12"/>
      <c r="X7322" s="12"/>
      <c r="AM7322" s="12"/>
    </row>
    <row r="7323" spans="9:39" x14ac:dyDescent="0.3">
      <c r="I7323" s="12"/>
      <c r="N7323" s="12"/>
      <c r="S7323" s="12"/>
      <c r="X7323" s="12"/>
      <c r="AM7323" s="12"/>
    </row>
    <row r="7324" spans="9:39" x14ac:dyDescent="0.3">
      <c r="I7324" s="12"/>
      <c r="N7324" s="12"/>
      <c r="S7324" s="12"/>
      <c r="X7324" s="12"/>
      <c r="AM7324" s="12"/>
    </row>
    <row r="7325" spans="9:39" x14ac:dyDescent="0.3">
      <c r="I7325" s="12"/>
      <c r="N7325" s="12"/>
      <c r="S7325" s="12"/>
      <c r="X7325" s="12"/>
      <c r="AM7325" s="12"/>
    </row>
    <row r="7326" spans="9:39" x14ac:dyDescent="0.3">
      <c r="I7326" s="12"/>
      <c r="N7326" s="12"/>
      <c r="S7326" s="12"/>
      <c r="X7326" s="12"/>
      <c r="AM7326" s="12"/>
    </row>
    <row r="7327" spans="9:39" x14ac:dyDescent="0.3">
      <c r="I7327" s="12"/>
      <c r="N7327" s="12"/>
      <c r="S7327" s="12"/>
      <c r="X7327" s="12"/>
      <c r="AM7327" s="12"/>
    </row>
    <row r="7328" spans="9:39" x14ac:dyDescent="0.3">
      <c r="I7328" s="12"/>
      <c r="N7328" s="12"/>
      <c r="S7328" s="12"/>
      <c r="X7328" s="12"/>
      <c r="AM7328" s="12"/>
    </row>
    <row r="7329" spans="9:39" x14ac:dyDescent="0.3">
      <c r="I7329" s="12"/>
      <c r="N7329" s="12"/>
      <c r="S7329" s="12"/>
      <c r="X7329" s="12"/>
      <c r="AM7329" s="12"/>
    </row>
    <row r="7330" spans="9:39" x14ac:dyDescent="0.3">
      <c r="I7330" s="12"/>
      <c r="N7330" s="12"/>
      <c r="S7330" s="12"/>
      <c r="X7330" s="12"/>
      <c r="AM7330" s="12"/>
    </row>
    <row r="7331" spans="9:39" x14ac:dyDescent="0.3">
      <c r="I7331" s="12"/>
      <c r="N7331" s="12"/>
      <c r="S7331" s="12"/>
      <c r="X7331" s="12"/>
      <c r="AM7331" s="12"/>
    </row>
    <row r="7332" spans="9:39" x14ac:dyDescent="0.3">
      <c r="I7332" s="12"/>
      <c r="N7332" s="12"/>
      <c r="S7332" s="12"/>
      <c r="X7332" s="12"/>
      <c r="AM7332" s="12"/>
    </row>
    <row r="7333" spans="9:39" x14ac:dyDescent="0.3">
      <c r="I7333" s="12"/>
      <c r="N7333" s="12"/>
      <c r="S7333" s="12"/>
      <c r="X7333" s="12"/>
      <c r="AM7333" s="12"/>
    </row>
    <row r="7334" spans="9:39" x14ac:dyDescent="0.3">
      <c r="I7334" s="12"/>
      <c r="N7334" s="12"/>
      <c r="S7334" s="12"/>
      <c r="X7334" s="12"/>
      <c r="AM7334" s="12"/>
    </row>
    <row r="7335" spans="9:39" x14ac:dyDescent="0.3">
      <c r="I7335" s="12"/>
      <c r="N7335" s="12"/>
      <c r="S7335" s="12"/>
      <c r="X7335" s="12"/>
      <c r="AM7335" s="12"/>
    </row>
    <row r="7336" spans="9:39" x14ac:dyDescent="0.3">
      <c r="I7336" s="12"/>
      <c r="N7336" s="12"/>
      <c r="S7336" s="12"/>
      <c r="X7336" s="12"/>
      <c r="AM7336" s="12"/>
    </row>
    <row r="7337" spans="9:39" x14ac:dyDescent="0.3">
      <c r="I7337" s="12"/>
      <c r="N7337" s="12"/>
      <c r="S7337" s="12"/>
      <c r="X7337" s="12"/>
      <c r="AM7337" s="12"/>
    </row>
    <row r="7338" spans="9:39" x14ac:dyDescent="0.3">
      <c r="I7338" s="12"/>
      <c r="N7338" s="12"/>
      <c r="S7338" s="12"/>
      <c r="X7338" s="12"/>
      <c r="AM7338" s="12"/>
    </row>
    <row r="7339" spans="9:39" x14ac:dyDescent="0.3">
      <c r="I7339" s="12"/>
      <c r="N7339" s="12"/>
      <c r="S7339" s="12"/>
      <c r="X7339" s="12"/>
      <c r="AM7339" s="12"/>
    </row>
    <row r="7340" spans="9:39" x14ac:dyDescent="0.3">
      <c r="I7340" s="12"/>
      <c r="N7340" s="12"/>
      <c r="S7340" s="12"/>
      <c r="X7340" s="12"/>
      <c r="AM7340" s="12"/>
    </row>
    <row r="7341" spans="9:39" x14ac:dyDescent="0.3">
      <c r="I7341" s="12"/>
      <c r="N7341" s="12"/>
      <c r="S7341" s="12"/>
      <c r="X7341" s="12"/>
      <c r="AM7341" s="12"/>
    </row>
    <row r="7342" spans="9:39" x14ac:dyDescent="0.3">
      <c r="I7342" s="12"/>
      <c r="N7342" s="12"/>
      <c r="S7342" s="12"/>
      <c r="X7342" s="12"/>
      <c r="AM7342" s="12"/>
    </row>
    <row r="7343" spans="9:39" x14ac:dyDescent="0.3">
      <c r="I7343" s="12"/>
      <c r="N7343" s="12"/>
      <c r="S7343" s="12"/>
      <c r="X7343" s="12"/>
      <c r="AM7343" s="12"/>
    </row>
    <row r="7344" spans="9:39" x14ac:dyDescent="0.3">
      <c r="I7344" s="12"/>
      <c r="N7344" s="12"/>
      <c r="S7344" s="12"/>
      <c r="X7344" s="12"/>
      <c r="AM7344" s="12"/>
    </row>
    <row r="7345" spans="9:39" x14ac:dyDescent="0.3">
      <c r="I7345" s="12"/>
      <c r="N7345" s="12"/>
      <c r="S7345" s="12"/>
      <c r="X7345" s="12"/>
      <c r="AM7345" s="12"/>
    </row>
    <row r="7346" spans="9:39" x14ac:dyDescent="0.3">
      <c r="I7346" s="12"/>
      <c r="N7346" s="12"/>
      <c r="S7346" s="12"/>
      <c r="X7346" s="12"/>
      <c r="AM7346" s="12"/>
    </row>
    <row r="7347" spans="9:39" x14ac:dyDescent="0.3">
      <c r="I7347" s="12"/>
      <c r="N7347" s="12"/>
      <c r="S7347" s="12"/>
      <c r="X7347" s="12"/>
      <c r="AM7347" s="12"/>
    </row>
    <row r="7348" spans="9:39" x14ac:dyDescent="0.3">
      <c r="I7348" s="12"/>
      <c r="N7348" s="12"/>
      <c r="S7348" s="12"/>
      <c r="X7348" s="12"/>
      <c r="AM7348" s="12"/>
    </row>
    <row r="7349" spans="9:39" x14ac:dyDescent="0.3">
      <c r="I7349" s="12"/>
      <c r="N7349" s="12"/>
      <c r="S7349" s="12"/>
      <c r="X7349" s="12"/>
      <c r="AM7349" s="12"/>
    </row>
    <row r="7350" spans="9:39" x14ac:dyDescent="0.3">
      <c r="I7350" s="12"/>
      <c r="N7350" s="12"/>
      <c r="S7350" s="12"/>
      <c r="X7350" s="12"/>
      <c r="AM7350" s="12"/>
    </row>
    <row r="7351" spans="9:39" x14ac:dyDescent="0.3">
      <c r="I7351" s="12"/>
      <c r="N7351" s="12"/>
      <c r="S7351" s="12"/>
      <c r="X7351" s="12"/>
      <c r="AM7351" s="12"/>
    </row>
    <row r="7352" spans="9:39" x14ac:dyDescent="0.3">
      <c r="I7352" s="12"/>
      <c r="N7352" s="12"/>
      <c r="S7352" s="12"/>
      <c r="X7352" s="12"/>
      <c r="AM7352" s="12"/>
    </row>
    <row r="7353" spans="9:39" x14ac:dyDescent="0.3">
      <c r="I7353" s="12"/>
      <c r="N7353" s="12"/>
      <c r="S7353" s="12"/>
      <c r="X7353" s="12"/>
      <c r="AM7353" s="12"/>
    </row>
    <row r="7354" spans="9:39" x14ac:dyDescent="0.3">
      <c r="I7354" s="12"/>
      <c r="N7354" s="12"/>
      <c r="S7354" s="12"/>
      <c r="X7354" s="12"/>
      <c r="AM7354" s="12"/>
    </row>
    <row r="7355" spans="9:39" x14ac:dyDescent="0.3">
      <c r="I7355" s="12"/>
      <c r="N7355" s="12"/>
      <c r="S7355" s="12"/>
      <c r="X7355" s="12"/>
      <c r="AM7355" s="12"/>
    </row>
    <row r="7356" spans="9:39" x14ac:dyDescent="0.3">
      <c r="I7356" s="12"/>
      <c r="N7356" s="12"/>
      <c r="S7356" s="12"/>
      <c r="X7356" s="12"/>
      <c r="AM7356" s="12"/>
    </row>
    <row r="7357" spans="9:39" x14ac:dyDescent="0.3">
      <c r="I7357" s="12"/>
      <c r="N7357" s="12"/>
      <c r="S7357" s="12"/>
      <c r="X7357" s="12"/>
      <c r="AM7357" s="12"/>
    </row>
    <row r="7358" spans="9:39" x14ac:dyDescent="0.3">
      <c r="I7358" s="12"/>
      <c r="N7358" s="12"/>
      <c r="S7358" s="12"/>
      <c r="X7358" s="12"/>
      <c r="AM7358" s="12"/>
    </row>
    <row r="7359" spans="9:39" x14ac:dyDescent="0.3">
      <c r="I7359" s="12"/>
      <c r="N7359" s="12"/>
      <c r="S7359" s="12"/>
      <c r="X7359" s="12"/>
      <c r="AM7359" s="12"/>
    </row>
    <row r="7360" spans="9:39" x14ac:dyDescent="0.3">
      <c r="I7360" s="12"/>
      <c r="N7360" s="12"/>
      <c r="S7360" s="12"/>
      <c r="X7360" s="12"/>
      <c r="AM7360" s="12"/>
    </row>
    <row r="7361" spans="9:39" x14ac:dyDescent="0.3">
      <c r="I7361" s="12"/>
      <c r="N7361" s="12"/>
      <c r="S7361" s="12"/>
      <c r="X7361" s="12"/>
      <c r="AM7361" s="12"/>
    </row>
    <row r="7362" spans="9:39" x14ac:dyDescent="0.3">
      <c r="I7362" s="12"/>
      <c r="N7362" s="12"/>
      <c r="S7362" s="12"/>
      <c r="X7362" s="12"/>
      <c r="AM7362" s="12"/>
    </row>
    <row r="7363" spans="9:39" x14ac:dyDescent="0.3">
      <c r="I7363" s="12"/>
      <c r="N7363" s="12"/>
      <c r="S7363" s="12"/>
      <c r="X7363" s="12"/>
      <c r="AM7363" s="12"/>
    </row>
    <row r="7364" spans="9:39" x14ac:dyDescent="0.3">
      <c r="I7364" s="12"/>
      <c r="N7364" s="12"/>
      <c r="S7364" s="12"/>
      <c r="X7364" s="12"/>
      <c r="AM7364" s="12"/>
    </row>
    <row r="7365" spans="9:39" x14ac:dyDescent="0.3">
      <c r="I7365" s="12"/>
      <c r="N7365" s="12"/>
      <c r="S7365" s="12"/>
      <c r="X7365" s="12"/>
      <c r="AM7365" s="12"/>
    </row>
    <row r="7366" spans="9:39" x14ac:dyDescent="0.3">
      <c r="I7366" s="12"/>
      <c r="N7366" s="12"/>
      <c r="S7366" s="12"/>
      <c r="X7366" s="12"/>
      <c r="AM7366" s="12"/>
    </row>
    <row r="7367" spans="9:39" x14ac:dyDescent="0.3">
      <c r="I7367" s="12"/>
      <c r="N7367" s="12"/>
      <c r="S7367" s="12"/>
      <c r="X7367" s="12"/>
      <c r="AM7367" s="12"/>
    </row>
    <row r="7368" spans="9:39" x14ac:dyDescent="0.3">
      <c r="I7368" s="12"/>
      <c r="N7368" s="12"/>
      <c r="S7368" s="12"/>
      <c r="X7368" s="12"/>
      <c r="AM7368" s="12"/>
    </row>
    <row r="7369" spans="9:39" x14ac:dyDescent="0.3">
      <c r="I7369" s="12"/>
      <c r="N7369" s="12"/>
      <c r="S7369" s="12"/>
      <c r="X7369" s="12"/>
      <c r="AM7369" s="12"/>
    </row>
    <row r="7370" spans="9:39" x14ac:dyDescent="0.3">
      <c r="I7370" s="12"/>
      <c r="N7370" s="12"/>
      <c r="S7370" s="12"/>
      <c r="X7370" s="12"/>
      <c r="AM7370" s="12"/>
    </row>
    <row r="7371" spans="9:39" x14ac:dyDescent="0.3">
      <c r="I7371" s="12"/>
      <c r="N7371" s="12"/>
      <c r="S7371" s="12"/>
      <c r="X7371" s="12"/>
      <c r="AM7371" s="12"/>
    </row>
    <row r="7372" spans="9:39" x14ac:dyDescent="0.3">
      <c r="I7372" s="12"/>
      <c r="N7372" s="12"/>
      <c r="S7372" s="12"/>
      <c r="X7372" s="12"/>
      <c r="AM7372" s="12"/>
    </row>
    <row r="7373" spans="9:39" x14ac:dyDescent="0.3">
      <c r="I7373" s="12"/>
      <c r="N7373" s="12"/>
      <c r="S7373" s="12"/>
      <c r="X7373" s="12"/>
      <c r="AM7373" s="12"/>
    </row>
    <row r="7374" spans="9:39" x14ac:dyDescent="0.3">
      <c r="I7374" s="12"/>
      <c r="N7374" s="12"/>
      <c r="S7374" s="12"/>
      <c r="X7374" s="12"/>
      <c r="AM7374" s="12"/>
    </row>
    <row r="7375" spans="9:39" x14ac:dyDescent="0.3">
      <c r="I7375" s="12"/>
      <c r="N7375" s="12"/>
      <c r="S7375" s="12"/>
      <c r="X7375" s="12"/>
      <c r="AM7375" s="12"/>
    </row>
    <row r="7376" spans="9:39" x14ac:dyDescent="0.3">
      <c r="I7376" s="12"/>
      <c r="N7376" s="12"/>
      <c r="S7376" s="12"/>
      <c r="X7376" s="12"/>
      <c r="AM7376" s="12"/>
    </row>
    <row r="7377" spans="9:39" x14ac:dyDescent="0.3">
      <c r="I7377" s="12"/>
      <c r="N7377" s="12"/>
      <c r="S7377" s="12"/>
      <c r="X7377" s="12"/>
      <c r="AM7377" s="12"/>
    </row>
    <row r="7378" spans="9:39" x14ac:dyDescent="0.3">
      <c r="I7378" s="12"/>
      <c r="N7378" s="12"/>
      <c r="S7378" s="12"/>
      <c r="X7378" s="12"/>
      <c r="AM7378" s="12"/>
    </row>
    <row r="7379" spans="9:39" x14ac:dyDescent="0.3">
      <c r="I7379" s="12"/>
      <c r="N7379" s="12"/>
      <c r="S7379" s="12"/>
      <c r="X7379" s="12"/>
      <c r="AM7379" s="12"/>
    </row>
    <row r="7380" spans="9:39" x14ac:dyDescent="0.3">
      <c r="I7380" s="12"/>
      <c r="N7380" s="12"/>
      <c r="S7380" s="12"/>
      <c r="X7380" s="12"/>
      <c r="AM7380" s="12"/>
    </row>
    <row r="7381" spans="9:39" x14ac:dyDescent="0.3">
      <c r="I7381" s="12"/>
      <c r="N7381" s="12"/>
      <c r="S7381" s="12"/>
      <c r="X7381" s="12"/>
      <c r="AM7381" s="12"/>
    </row>
    <row r="7382" spans="9:39" x14ac:dyDescent="0.3">
      <c r="I7382" s="12"/>
      <c r="N7382" s="12"/>
      <c r="S7382" s="12"/>
      <c r="X7382" s="12"/>
      <c r="AM7382" s="12"/>
    </row>
    <row r="7383" spans="9:39" x14ac:dyDescent="0.3">
      <c r="I7383" s="12"/>
      <c r="N7383" s="12"/>
      <c r="S7383" s="12"/>
      <c r="X7383" s="12"/>
      <c r="AM7383" s="12"/>
    </row>
    <row r="7384" spans="9:39" x14ac:dyDescent="0.3">
      <c r="I7384" s="12"/>
      <c r="N7384" s="12"/>
      <c r="S7384" s="12"/>
      <c r="X7384" s="12"/>
      <c r="AM7384" s="12"/>
    </row>
    <row r="7385" spans="9:39" x14ac:dyDescent="0.3">
      <c r="I7385" s="12"/>
      <c r="N7385" s="12"/>
      <c r="S7385" s="12"/>
      <c r="X7385" s="12"/>
      <c r="AM7385" s="12"/>
    </row>
    <row r="7386" spans="9:39" x14ac:dyDescent="0.3">
      <c r="I7386" s="12"/>
      <c r="N7386" s="12"/>
      <c r="S7386" s="12"/>
      <c r="X7386" s="12"/>
      <c r="AM7386" s="12"/>
    </row>
    <row r="7387" spans="9:39" x14ac:dyDescent="0.3">
      <c r="I7387" s="12"/>
      <c r="N7387" s="12"/>
      <c r="S7387" s="12"/>
      <c r="X7387" s="12"/>
      <c r="AM7387" s="12"/>
    </row>
    <row r="7388" spans="9:39" x14ac:dyDescent="0.3">
      <c r="I7388" s="12"/>
      <c r="N7388" s="12"/>
      <c r="S7388" s="12"/>
      <c r="X7388" s="12"/>
      <c r="AM7388" s="12"/>
    </row>
    <row r="7389" spans="9:39" x14ac:dyDescent="0.3">
      <c r="I7389" s="12"/>
      <c r="N7389" s="12"/>
      <c r="S7389" s="12"/>
      <c r="X7389" s="12"/>
      <c r="AM7389" s="12"/>
    </row>
    <row r="7390" spans="9:39" x14ac:dyDescent="0.3">
      <c r="I7390" s="12"/>
      <c r="N7390" s="12"/>
      <c r="S7390" s="12"/>
      <c r="X7390" s="12"/>
      <c r="AM7390" s="12"/>
    </row>
    <row r="7391" spans="9:39" x14ac:dyDescent="0.3">
      <c r="I7391" s="12"/>
      <c r="N7391" s="12"/>
      <c r="S7391" s="12"/>
      <c r="X7391" s="12"/>
      <c r="AM7391" s="12"/>
    </row>
    <row r="7392" spans="9:39" x14ac:dyDescent="0.3">
      <c r="I7392" s="12"/>
      <c r="N7392" s="12"/>
      <c r="S7392" s="12"/>
      <c r="X7392" s="12"/>
      <c r="AM7392" s="12"/>
    </row>
    <row r="7393" spans="9:39" x14ac:dyDescent="0.3">
      <c r="I7393" s="12"/>
      <c r="N7393" s="12"/>
      <c r="S7393" s="12"/>
      <c r="X7393" s="12"/>
      <c r="AM7393" s="12"/>
    </row>
    <row r="7394" spans="9:39" x14ac:dyDescent="0.3">
      <c r="I7394" s="12"/>
      <c r="N7394" s="12"/>
      <c r="S7394" s="12"/>
      <c r="X7394" s="12"/>
      <c r="AM7394" s="12"/>
    </row>
    <row r="7395" spans="9:39" x14ac:dyDescent="0.3">
      <c r="I7395" s="12"/>
      <c r="N7395" s="12"/>
      <c r="S7395" s="12"/>
      <c r="X7395" s="12"/>
      <c r="AM7395" s="12"/>
    </row>
    <row r="7396" spans="9:39" x14ac:dyDescent="0.3">
      <c r="I7396" s="12"/>
      <c r="N7396" s="12"/>
      <c r="S7396" s="12"/>
      <c r="X7396" s="12"/>
      <c r="AM7396" s="12"/>
    </row>
    <row r="7397" spans="9:39" x14ac:dyDescent="0.3">
      <c r="I7397" s="12"/>
      <c r="N7397" s="12"/>
      <c r="S7397" s="12"/>
      <c r="X7397" s="12"/>
      <c r="AM7397" s="12"/>
    </row>
    <row r="7398" spans="9:39" x14ac:dyDescent="0.3">
      <c r="I7398" s="12"/>
      <c r="N7398" s="12"/>
      <c r="S7398" s="12"/>
      <c r="X7398" s="12"/>
      <c r="AM7398" s="12"/>
    </row>
    <row r="7399" spans="9:39" x14ac:dyDescent="0.3">
      <c r="I7399" s="12"/>
      <c r="N7399" s="12"/>
      <c r="S7399" s="12"/>
      <c r="X7399" s="12"/>
      <c r="AM7399" s="12"/>
    </row>
    <row r="7400" spans="9:39" x14ac:dyDescent="0.3">
      <c r="I7400" s="12"/>
      <c r="N7400" s="12"/>
      <c r="S7400" s="12"/>
      <c r="X7400" s="12"/>
      <c r="AM7400" s="12"/>
    </row>
    <row r="7401" spans="9:39" x14ac:dyDescent="0.3">
      <c r="I7401" s="12"/>
      <c r="N7401" s="12"/>
      <c r="S7401" s="12"/>
      <c r="X7401" s="12"/>
      <c r="AM7401" s="12"/>
    </row>
    <row r="7402" spans="9:39" x14ac:dyDescent="0.3">
      <c r="I7402" s="12"/>
      <c r="N7402" s="12"/>
      <c r="S7402" s="12"/>
      <c r="X7402" s="12"/>
      <c r="AM7402" s="12"/>
    </row>
    <row r="7403" spans="9:39" x14ac:dyDescent="0.3">
      <c r="I7403" s="12"/>
      <c r="N7403" s="12"/>
      <c r="S7403" s="12"/>
      <c r="X7403" s="12"/>
      <c r="AM7403" s="12"/>
    </row>
    <row r="7404" spans="9:39" x14ac:dyDescent="0.3">
      <c r="I7404" s="12"/>
      <c r="N7404" s="12"/>
      <c r="S7404" s="12"/>
      <c r="X7404" s="12"/>
      <c r="AM7404" s="12"/>
    </row>
    <row r="7405" spans="9:39" x14ac:dyDescent="0.3">
      <c r="I7405" s="12"/>
      <c r="N7405" s="12"/>
      <c r="S7405" s="12"/>
      <c r="X7405" s="12"/>
      <c r="AM7405" s="12"/>
    </row>
    <row r="7406" spans="9:39" x14ac:dyDescent="0.3">
      <c r="I7406" s="12"/>
      <c r="N7406" s="12"/>
      <c r="S7406" s="12"/>
      <c r="X7406" s="12"/>
      <c r="AM7406" s="12"/>
    </row>
    <row r="7407" spans="9:39" x14ac:dyDescent="0.3">
      <c r="I7407" s="12"/>
      <c r="N7407" s="12"/>
      <c r="S7407" s="12"/>
      <c r="X7407" s="12"/>
      <c r="AM7407" s="12"/>
    </row>
    <row r="7408" spans="9:39" x14ac:dyDescent="0.3">
      <c r="I7408" s="12"/>
      <c r="N7408" s="12"/>
      <c r="S7408" s="12"/>
      <c r="X7408" s="12"/>
      <c r="AM7408" s="12"/>
    </row>
    <row r="7409" spans="9:39" x14ac:dyDescent="0.3">
      <c r="I7409" s="12"/>
      <c r="N7409" s="12"/>
      <c r="S7409" s="12"/>
      <c r="X7409" s="12"/>
      <c r="AM7409" s="12"/>
    </row>
    <row r="7410" spans="9:39" x14ac:dyDescent="0.3">
      <c r="I7410" s="12"/>
      <c r="N7410" s="12"/>
      <c r="S7410" s="12"/>
      <c r="X7410" s="12"/>
      <c r="AM7410" s="12"/>
    </row>
    <row r="7411" spans="9:39" x14ac:dyDescent="0.3">
      <c r="I7411" s="12"/>
      <c r="N7411" s="12"/>
      <c r="S7411" s="12"/>
      <c r="X7411" s="12"/>
      <c r="AM7411" s="12"/>
    </row>
    <row r="7412" spans="9:39" x14ac:dyDescent="0.3">
      <c r="I7412" s="12"/>
      <c r="N7412" s="12"/>
      <c r="S7412" s="12"/>
      <c r="X7412" s="12"/>
      <c r="AM7412" s="12"/>
    </row>
    <row r="7413" spans="9:39" x14ac:dyDescent="0.3">
      <c r="I7413" s="12"/>
      <c r="N7413" s="12"/>
      <c r="S7413" s="12"/>
      <c r="X7413" s="12"/>
      <c r="AM7413" s="12"/>
    </row>
    <row r="7414" spans="9:39" x14ac:dyDescent="0.3">
      <c r="I7414" s="12"/>
      <c r="N7414" s="12"/>
      <c r="S7414" s="12"/>
      <c r="X7414" s="12"/>
      <c r="AM7414" s="12"/>
    </row>
    <row r="7415" spans="9:39" x14ac:dyDescent="0.3">
      <c r="I7415" s="12"/>
      <c r="N7415" s="12"/>
      <c r="S7415" s="12"/>
      <c r="X7415" s="12"/>
      <c r="AM7415" s="12"/>
    </row>
    <row r="7416" spans="9:39" x14ac:dyDescent="0.3">
      <c r="I7416" s="12"/>
      <c r="N7416" s="12"/>
      <c r="S7416" s="12"/>
      <c r="X7416" s="12"/>
      <c r="AM7416" s="12"/>
    </row>
    <row r="7417" spans="9:39" x14ac:dyDescent="0.3">
      <c r="I7417" s="12"/>
      <c r="N7417" s="12"/>
      <c r="S7417" s="12"/>
      <c r="X7417" s="12"/>
      <c r="AM7417" s="12"/>
    </row>
    <row r="7418" spans="9:39" x14ac:dyDescent="0.3">
      <c r="I7418" s="12"/>
      <c r="N7418" s="12"/>
      <c r="S7418" s="12"/>
      <c r="X7418" s="12"/>
      <c r="AM7418" s="12"/>
    </row>
    <row r="7419" spans="9:39" x14ac:dyDescent="0.3">
      <c r="I7419" s="12"/>
      <c r="N7419" s="12"/>
      <c r="S7419" s="12"/>
      <c r="X7419" s="12"/>
      <c r="AM7419" s="12"/>
    </row>
    <row r="7420" spans="9:39" x14ac:dyDescent="0.3">
      <c r="I7420" s="12"/>
      <c r="N7420" s="12"/>
      <c r="S7420" s="12"/>
      <c r="X7420" s="12"/>
      <c r="AM7420" s="12"/>
    </row>
    <row r="7421" spans="9:39" x14ac:dyDescent="0.3">
      <c r="I7421" s="12"/>
      <c r="N7421" s="12"/>
      <c r="S7421" s="12"/>
      <c r="X7421" s="12"/>
      <c r="AM7421" s="12"/>
    </row>
    <row r="7422" spans="9:39" x14ac:dyDescent="0.3">
      <c r="I7422" s="12"/>
      <c r="N7422" s="12"/>
      <c r="S7422" s="12"/>
      <c r="X7422" s="12"/>
      <c r="AM7422" s="12"/>
    </row>
    <row r="7423" spans="9:39" x14ac:dyDescent="0.3">
      <c r="I7423" s="12"/>
      <c r="N7423" s="12"/>
      <c r="S7423" s="12"/>
      <c r="X7423" s="12"/>
      <c r="AM7423" s="12"/>
    </row>
    <row r="7424" spans="9:39" x14ac:dyDescent="0.3">
      <c r="I7424" s="12"/>
      <c r="N7424" s="12"/>
      <c r="S7424" s="12"/>
      <c r="X7424" s="12"/>
      <c r="AM7424" s="12"/>
    </row>
    <row r="7425" spans="9:39" x14ac:dyDescent="0.3">
      <c r="I7425" s="12"/>
      <c r="N7425" s="12"/>
      <c r="S7425" s="12"/>
      <c r="X7425" s="12"/>
      <c r="AM7425" s="12"/>
    </row>
    <row r="7426" spans="9:39" x14ac:dyDescent="0.3">
      <c r="I7426" s="12"/>
      <c r="N7426" s="12"/>
      <c r="S7426" s="12"/>
      <c r="X7426" s="12"/>
      <c r="AM7426" s="12"/>
    </row>
    <row r="7427" spans="9:39" x14ac:dyDescent="0.3">
      <c r="I7427" s="12"/>
      <c r="N7427" s="12"/>
      <c r="S7427" s="12"/>
      <c r="X7427" s="12"/>
      <c r="AM7427" s="12"/>
    </row>
    <row r="7428" spans="9:39" x14ac:dyDescent="0.3">
      <c r="I7428" s="12"/>
      <c r="N7428" s="12"/>
      <c r="S7428" s="12"/>
      <c r="X7428" s="12"/>
      <c r="AM7428" s="12"/>
    </row>
    <row r="7429" spans="9:39" x14ac:dyDescent="0.3">
      <c r="I7429" s="12"/>
      <c r="N7429" s="12"/>
      <c r="S7429" s="12"/>
      <c r="X7429" s="12"/>
      <c r="AM7429" s="12"/>
    </row>
    <row r="7430" spans="9:39" x14ac:dyDescent="0.3">
      <c r="I7430" s="12"/>
      <c r="N7430" s="12"/>
      <c r="S7430" s="12"/>
      <c r="X7430" s="12"/>
      <c r="AM7430" s="12"/>
    </row>
    <row r="7431" spans="9:39" x14ac:dyDescent="0.3">
      <c r="I7431" s="12"/>
      <c r="N7431" s="12"/>
      <c r="S7431" s="12"/>
      <c r="X7431" s="12"/>
      <c r="AM7431" s="12"/>
    </row>
    <row r="7432" spans="9:39" x14ac:dyDescent="0.3">
      <c r="I7432" s="12"/>
      <c r="N7432" s="12"/>
      <c r="S7432" s="12"/>
      <c r="X7432" s="12"/>
      <c r="AM7432" s="12"/>
    </row>
    <row r="7433" spans="9:39" x14ac:dyDescent="0.3">
      <c r="I7433" s="12"/>
      <c r="N7433" s="12"/>
      <c r="S7433" s="12"/>
      <c r="X7433" s="12"/>
      <c r="AM7433" s="12"/>
    </row>
    <row r="7434" spans="9:39" x14ac:dyDescent="0.3">
      <c r="I7434" s="12"/>
      <c r="N7434" s="12"/>
      <c r="S7434" s="12"/>
      <c r="X7434" s="12"/>
      <c r="AM7434" s="12"/>
    </row>
    <row r="7435" spans="9:39" x14ac:dyDescent="0.3">
      <c r="I7435" s="12"/>
      <c r="N7435" s="12"/>
      <c r="S7435" s="12"/>
      <c r="X7435" s="12"/>
      <c r="AM7435" s="12"/>
    </row>
    <row r="7436" spans="9:39" x14ac:dyDescent="0.3">
      <c r="I7436" s="12"/>
      <c r="N7436" s="12"/>
      <c r="S7436" s="12"/>
      <c r="X7436" s="12"/>
      <c r="AM7436" s="12"/>
    </row>
    <row r="7437" spans="9:39" x14ac:dyDescent="0.3">
      <c r="I7437" s="12"/>
      <c r="N7437" s="12"/>
      <c r="S7437" s="12"/>
      <c r="X7437" s="12"/>
      <c r="AM7437" s="12"/>
    </row>
    <row r="7438" spans="9:39" x14ac:dyDescent="0.3">
      <c r="I7438" s="12"/>
      <c r="N7438" s="12"/>
      <c r="S7438" s="12"/>
      <c r="X7438" s="12"/>
      <c r="AM7438" s="12"/>
    </row>
    <row r="7439" spans="9:39" x14ac:dyDescent="0.3">
      <c r="I7439" s="12"/>
      <c r="N7439" s="12"/>
      <c r="S7439" s="12"/>
      <c r="X7439" s="12"/>
      <c r="AM7439" s="12"/>
    </row>
    <row r="7440" spans="9:39" x14ac:dyDescent="0.3">
      <c r="I7440" s="12"/>
      <c r="N7440" s="12"/>
      <c r="S7440" s="12"/>
      <c r="X7440" s="12"/>
      <c r="AM7440" s="12"/>
    </row>
    <row r="7441" spans="9:39" x14ac:dyDescent="0.3">
      <c r="I7441" s="12"/>
      <c r="N7441" s="12"/>
      <c r="S7441" s="12"/>
      <c r="X7441" s="12"/>
      <c r="AM7441" s="12"/>
    </row>
    <row r="7442" spans="9:39" x14ac:dyDescent="0.3">
      <c r="I7442" s="12"/>
      <c r="N7442" s="12"/>
      <c r="S7442" s="12"/>
      <c r="X7442" s="12"/>
      <c r="AM7442" s="12"/>
    </row>
    <row r="7443" spans="9:39" x14ac:dyDescent="0.3">
      <c r="I7443" s="12"/>
      <c r="N7443" s="12"/>
      <c r="S7443" s="12"/>
      <c r="X7443" s="12"/>
      <c r="AM7443" s="12"/>
    </row>
    <row r="7444" spans="9:39" x14ac:dyDescent="0.3">
      <c r="I7444" s="12"/>
      <c r="N7444" s="12"/>
      <c r="S7444" s="12"/>
      <c r="X7444" s="12"/>
      <c r="AM7444" s="12"/>
    </row>
    <row r="7445" spans="9:39" x14ac:dyDescent="0.3">
      <c r="I7445" s="12"/>
      <c r="N7445" s="12"/>
      <c r="S7445" s="12"/>
      <c r="X7445" s="12"/>
      <c r="AM7445" s="12"/>
    </row>
    <row r="7446" spans="9:39" x14ac:dyDescent="0.3">
      <c r="I7446" s="12"/>
      <c r="N7446" s="12"/>
      <c r="S7446" s="12"/>
      <c r="X7446" s="12"/>
      <c r="AM7446" s="12"/>
    </row>
    <row r="7447" spans="9:39" x14ac:dyDescent="0.3">
      <c r="I7447" s="12"/>
      <c r="N7447" s="12"/>
      <c r="S7447" s="12"/>
      <c r="X7447" s="12"/>
      <c r="AM7447" s="12"/>
    </row>
    <row r="7448" spans="9:39" x14ac:dyDescent="0.3">
      <c r="I7448" s="12"/>
      <c r="N7448" s="12"/>
      <c r="S7448" s="12"/>
      <c r="X7448" s="12"/>
      <c r="AM7448" s="12"/>
    </row>
    <row r="7449" spans="9:39" x14ac:dyDescent="0.3">
      <c r="I7449" s="12"/>
      <c r="N7449" s="12"/>
      <c r="S7449" s="12"/>
      <c r="X7449" s="12"/>
      <c r="AM7449" s="12"/>
    </row>
    <row r="7450" spans="9:39" x14ac:dyDescent="0.3">
      <c r="I7450" s="12"/>
      <c r="N7450" s="12"/>
      <c r="S7450" s="12"/>
      <c r="X7450" s="12"/>
      <c r="AM7450" s="12"/>
    </row>
    <row r="7451" spans="9:39" x14ac:dyDescent="0.3">
      <c r="I7451" s="12"/>
      <c r="N7451" s="12"/>
      <c r="S7451" s="12"/>
      <c r="X7451" s="12"/>
      <c r="AM7451" s="12"/>
    </row>
    <row r="7452" spans="9:39" x14ac:dyDescent="0.3">
      <c r="I7452" s="12"/>
      <c r="N7452" s="12"/>
      <c r="S7452" s="12"/>
      <c r="X7452" s="12"/>
      <c r="AM7452" s="12"/>
    </row>
    <row r="7453" spans="9:39" x14ac:dyDescent="0.3">
      <c r="I7453" s="12"/>
      <c r="N7453" s="12"/>
      <c r="S7453" s="12"/>
      <c r="X7453" s="12"/>
      <c r="AM7453" s="12"/>
    </row>
    <row r="7454" spans="9:39" x14ac:dyDescent="0.3">
      <c r="I7454" s="12"/>
      <c r="N7454" s="12"/>
      <c r="S7454" s="12"/>
      <c r="X7454" s="12"/>
      <c r="AM7454" s="12"/>
    </row>
    <row r="7455" spans="9:39" x14ac:dyDescent="0.3">
      <c r="I7455" s="12"/>
      <c r="N7455" s="12"/>
      <c r="S7455" s="12"/>
      <c r="X7455" s="12"/>
      <c r="AM7455" s="12"/>
    </row>
    <row r="7456" spans="9:39" x14ac:dyDescent="0.3">
      <c r="I7456" s="12"/>
      <c r="N7456" s="12"/>
      <c r="S7456" s="12"/>
      <c r="X7456" s="12"/>
      <c r="AM7456" s="12"/>
    </row>
    <row r="7457" spans="9:39" x14ac:dyDescent="0.3">
      <c r="I7457" s="12"/>
      <c r="N7457" s="12"/>
      <c r="S7457" s="12"/>
      <c r="X7457" s="12"/>
      <c r="AM7457" s="12"/>
    </row>
    <row r="7458" spans="9:39" x14ac:dyDescent="0.3">
      <c r="I7458" s="12"/>
      <c r="N7458" s="12"/>
      <c r="S7458" s="12"/>
      <c r="X7458" s="12"/>
      <c r="AM7458" s="12"/>
    </row>
    <row r="7459" spans="9:39" x14ac:dyDescent="0.3">
      <c r="I7459" s="12"/>
      <c r="N7459" s="12"/>
      <c r="S7459" s="12"/>
      <c r="X7459" s="12"/>
      <c r="AM7459" s="12"/>
    </row>
    <row r="7460" spans="9:39" x14ac:dyDescent="0.3">
      <c r="I7460" s="12"/>
      <c r="N7460" s="12"/>
      <c r="S7460" s="12"/>
      <c r="X7460" s="12"/>
      <c r="AM7460" s="12"/>
    </row>
    <row r="7461" spans="9:39" x14ac:dyDescent="0.3">
      <c r="I7461" s="12"/>
      <c r="N7461" s="12"/>
      <c r="S7461" s="12"/>
      <c r="X7461" s="12"/>
      <c r="AM7461" s="12"/>
    </row>
    <row r="7462" spans="9:39" x14ac:dyDescent="0.3">
      <c r="I7462" s="12"/>
      <c r="N7462" s="12"/>
      <c r="S7462" s="12"/>
      <c r="X7462" s="12"/>
      <c r="AM7462" s="12"/>
    </row>
    <row r="7463" spans="9:39" x14ac:dyDescent="0.3">
      <c r="I7463" s="12"/>
      <c r="N7463" s="12"/>
      <c r="S7463" s="12"/>
      <c r="X7463" s="12"/>
      <c r="AM7463" s="12"/>
    </row>
    <row r="7464" spans="9:39" x14ac:dyDescent="0.3">
      <c r="I7464" s="12"/>
      <c r="N7464" s="12"/>
      <c r="S7464" s="12"/>
      <c r="X7464" s="12"/>
      <c r="AM7464" s="12"/>
    </row>
    <row r="7465" spans="9:39" x14ac:dyDescent="0.3">
      <c r="I7465" s="12"/>
      <c r="N7465" s="12"/>
      <c r="S7465" s="12"/>
      <c r="X7465" s="12"/>
      <c r="AM7465" s="12"/>
    </row>
    <row r="7466" spans="9:39" x14ac:dyDescent="0.3">
      <c r="I7466" s="12"/>
      <c r="N7466" s="12"/>
      <c r="S7466" s="12"/>
      <c r="X7466" s="12"/>
      <c r="AM7466" s="12"/>
    </row>
    <row r="7467" spans="9:39" x14ac:dyDescent="0.3">
      <c r="I7467" s="12"/>
      <c r="N7467" s="12"/>
      <c r="S7467" s="12"/>
      <c r="X7467" s="12"/>
      <c r="AM7467" s="12"/>
    </row>
    <row r="7468" spans="9:39" x14ac:dyDescent="0.3">
      <c r="I7468" s="12"/>
      <c r="N7468" s="12"/>
      <c r="S7468" s="12"/>
      <c r="X7468" s="12"/>
      <c r="AM7468" s="12"/>
    </row>
    <row r="7469" spans="9:39" x14ac:dyDescent="0.3">
      <c r="I7469" s="12"/>
      <c r="N7469" s="12"/>
      <c r="S7469" s="12"/>
      <c r="X7469" s="12"/>
      <c r="AM7469" s="12"/>
    </row>
    <row r="7470" spans="9:39" x14ac:dyDescent="0.3">
      <c r="I7470" s="12"/>
      <c r="N7470" s="12"/>
      <c r="S7470" s="12"/>
      <c r="X7470" s="12"/>
      <c r="AM7470" s="12"/>
    </row>
    <row r="7471" spans="9:39" x14ac:dyDescent="0.3">
      <c r="I7471" s="12"/>
      <c r="N7471" s="12"/>
      <c r="S7471" s="12"/>
      <c r="X7471" s="12"/>
      <c r="AM7471" s="12"/>
    </row>
    <row r="7472" spans="9:39" x14ac:dyDescent="0.3">
      <c r="I7472" s="12"/>
      <c r="N7472" s="12"/>
      <c r="S7472" s="12"/>
      <c r="X7472" s="12"/>
      <c r="AM7472" s="12"/>
    </row>
    <row r="7473" spans="9:39" x14ac:dyDescent="0.3">
      <c r="I7473" s="12"/>
      <c r="N7473" s="12"/>
      <c r="S7473" s="12"/>
      <c r="X7473" s="12"/>
      <c r="AM7473" s="12"/>
    </row>
    <row r="7474" spans="9:39" x14ac:dyDescent="0.3">
      <c r="I7474" s="12"/>
      <c r="N7474" s="12"/>
      <c r="S7474" s="12"/>
      <c r="X7474" s="12"/>
      <c r="AM7474" s="12"/>
    </row>
    <row r="7475" spans="9:39" x14ac:dyDescent="0.3">
      <c r="I7475" s="12"/>
      <c r="N7475" s="12"/>
      <c r="S7475" s="12"/>
      <c r="X7475" s="12"/>
      <c r="AM7475" s="12"/>
    </row>
    <row r="7476" spans="9:39" x14ac:dyDescent="0.3">
      <c r="I7476" s="12"/>
      <c r="N7476" s="12"/>
      <c r="S7476" s="12"/>
      <c r="X7476" s="12"/>
      <c r="AM7476" s="12"/>
    </row>
    <row r="7477" spans="9:39" x14ac:dyDescent="0.3">
      <c r="I7477" s="12"/>
      <c r="N7477" s="12"/>
      <c r="S7477" s="12"/>
      <c r="X7477" s="12"/>
      <c r="AM7477" s="12"/>
    </row>
    <row r="7478" spans="9:39" x14ac:dyDescent="0.3">
      <c r="I7478" s="12"/>
      <c r="N7478" s="12"/>
      <c r="S7478" s="12"/>
      <c r="X7478" s="12"/>
      <c r="AM7478" s="12"/>
    </row>
    <row r="7479" spans="9:39" x14ac:dyDescent="0.3">
      <c r="I7479" s="12"/>
      <c r="N7479" s="12"/>
      <c r="S7479" s="12"/>
      <c r="X7479" s="12"/>
      <c r="AM7479" s="12"/>
    </row>
    <row r="7480" spans="9:39" x14ac:dyDescent="0.3">
      <c r="I7480" s="12"/>
      <c r="N7480" s="12"/>
      <c r="S7480" s="12"/>
      <c r="X7480" s="12"/>
      <c r="AM7480" s="12"/>
    </row>
    <row r="7481" spans="9:39" x14ac:dyDescent="0.3">
      <c r="I7481" s="12"/>
      <c r="N7481" s="12"/>
      <c r="S7481" s="12"/>
      <c r="X7481" s="12"/>
      <c r="AM7481" s="12"/>
    </row>
    <row r="7482" spans="9:39" x14ac:dyDescent="0.3">
      <c r="I7482" s="12"/>
      <c r="N7482" s="12"/>
      <c r="S7482" s="12"/>
      <c r="X7482" s="12"/>
      <c r="AM7482" s="12"/>
    </row>
    <row r="7483" spans="9:39" x14ac:dyDescent="0.3">
      <c r="I7483" s="12"/>
      <c r="N7483" s="12"/>
      <c r="S7483" s="12"/>
      <c r="X7483" s="12"/>
      <c r="AM7483" s="12"/>
    </row>
    <row r="7484" spans="9:39" x14ac:dyDescent="0.3">
      <c r="I7484" s="12"/>
      <c r="N7484" s="12"/>
      <c r="S7484" s="12"/>
      <c r="X7484" s="12"/>
      <c r="AM7484" s="12"/>
    </row>
    <row r="7485" spans="9:39" x14ac:dyDescent="0.3">
      <c r="I7485" s="12"/>
      <c r="N7485" s="12"/>
      <c r="S7485" s="12"/>
      <c r="X7485" s="12"/>
      <c r="AM7485" s="12"/>
    </row>
    <row r="7486" spans="9:39" x14ac:dyDescent="0.3">
      <c r="I7486" s="12"/>
      <c r="N7486" s="12"/>
      <c r="S7486" s="12"/>
      <c r="X7486" s="12"/>
      <c r="AM7486" s="12"/>
    </row>
    <row r="7487" spans="9:39" x14ac:dyDescent="0.3">
      <c r="I7487" s="12"/>
      <c r="N7487" s="12"/>
      <c r="S7487" s="12"/>
      <c r="X7487" s="12"/>
      <c r="AM7487" s="12"/>
    </row>
    <row r="7488" spans="9:39" x14ac:dyDescent="0.3">
      <c r="I7488" s="12"/>
      <c r="N7488" s="12"/>
      <c r="S7488" s="12"/>
      <c r="X7488" s="12"/>
      <c r="AM7488" s="12"/>
    </row>
    <row r="7489" spans="9:39" x14ac:dyDescent="0.3">
      <c r="I7489" s="12"/>
      <c r="N7489" s="12"/>
      <c r="S7489" s="12"/>
      <c r="X7489" s="12"/>
      <c r="AM7489" s="12"/>
    </row>
    <row r="7490" spans="9:39" x14ac:dyDescent="0.3">
      <c r="I7490" s="12"/>
      <c r="N7490" s="12"/>
      <c r="S7490" s="12"/>
      <c r="X7490" s="12"/>
      <c r="AM7490" s="12"/>
    </row>
    <row r="7491" spans="9:39" x14ac:dyDescent="0.3">
      <c r="I7491" s="12"/>
      <c r="N7491" s="12"/>
      <c r="S7491" s="12"/>
      <c r="X7491" s="12"/>
      <c r="AM7491" s="12"/>
    </row>
    <row r="7492" spans="9:39" x14ac:dyDescent="0.3">
      <c r="I7492" s="12"/>
      <c r="N7492" s="12"/>
      <c r="S7492" s="12"/>
      <c r="X7492" s="12"/>
      <c r="AM7492" s="12"/>
    </row>
    <row r="7493" spans="9:39" x14ac:dyDescent="0.3">
      <c r="I7493" s="12"/>
      <c r="N7493" s="12"/>
      <c r="S7493" s="12"/>
      <c r="X7493" s="12"/>
      <c r="AM7493" s="12"/>
    </row>
    <row r="7494" spans="9:39" x14ac:dyDescent="0.3">
      <c r="I7494" s="12"/>
      <c r="N7494" s="12"/>
      <c r="S7494" s="12"/>
      <c r="X7494" s="12"/>
      <c r="AM7494" s="12"/>
    </row>
    <row r="7495" spans="9:39" x14ac:dyDescent="0.3">
      <c r="I7495" s="12"/>
      <c r="N7495" s="12"/>
      <c r="S7495" s="12"/>
      <c r="X7495" s="12"/>
      <c r="AM7495" s="12"/>
    </row>
    <row r="7496" spans="9:39" x14ac:dyDescent="0.3">
      <c r="I7496" s="12"/>
      <c r="N7496" s="12"/>
      <c r="S7496" s="12"/>
      <c r="X7496" s="12"/>
      <c r="AM7496" s="12"/>
    </row>
    <row r="7497" spans="9:39" x14ac:dyDescent="0.3">
      <c r="I7497" s="12"/>
      <c r="N7497" s="12"/>
      <c r="S7497" s="12"/>
      <c r="X7497" s="12"/>
      <c r="AM7497" s="12"/>
    </row>
    <row r="7498" spans="9:39" x14ac:dyDescent="0.3">
      <c r="I7498" s="12"/>
      <c r="N7498" s="12"/>
      <c r="S7498" s="12"/>
      <c r="X7498" s="12"/>
      <c r="AM7498" s="12"/>
    </row>
    <row r="7499" spans="9:39" x14ac:dyDescent="0.3">
      <c r="I7499" s="12"/>
      <c r="N7499" s="12"/>
      <c r="S7499" s="12"/>
      <c r="X7499" s="12"/>
      <c r="AM7499" s="12"/>
    </row>
    <row r="7500" spans="9:39" x14ac:dyDescent="0.3">
      <c r="I7500" s="12"/>
      <c r="N7500" s="12"/>
      <c r="S7500" s="12"/>
      <c r="X7500" s="12"/>
      <c r="AM7500" s="12"/>
    </row>
    <row r="7501" spans="9:39" x14ac:dyDescent="0.3">
      <c r="I7501" s="12"/>
      <c r="N7501" s="12"/>
      <c r="S7501" s="12"/>
      <c r="X7501" s="12"/>
      <c r="AM7501" s="12"/>
    </row>
    <row r="7502" spans="9:39" x14ac:dyDescent="0.3">
      <c r="I7502" s="12"/>
      <c r="N7502" s="12"/>
      <c r="S7502" s="12"/>
      <c r="X7502" s="12"/>
      <c r="AM7502" s="12"/>
    </row>
    <row r="7503" spans="9:39" x14ac:dyDescent="0.3">
      <c r="I7503" s="12"/>
      <c r="N7503" s="12"/>
      <c r="S7503" s="12"/>
      <c r="X7503" s="12"/>
      <c r="AM7503" s="12"/>
    </row>
    <row r="7504" spans="9:39" x14ac:dyDescent="0.3">
      <c r="I7504" s="12"/>
      <c r="N7504" s="12"/>
      <c r="S7504" s="12"/>
      <c r="X7504" s="12"/>
      <c r="AM7504" s="12"/>
    </row>
    <row r="7505" spans="9:39" x14ac:dyDescent="0.3">
      <c r="I7505" s="12"/>
      <c r="N7505" s="12"/>
      <c r="S7505" s="12"/>
      <c r="X7505" s="12"/>
      <c r="AM7505" s="12"/>
    </row>
    <row r="7506" spans="9:39" x14ac:dyDescent="0.3">
      <c r="I7506" s="12"/>
      <c r="N7506" s="12"/>
      <c r="S7506" s="12"/>
      <c r="X7506" s="12"/>
      <c r="AM7506" s="12"/>
    </row>
    <row r="7507" spans="9:39" x14ac:dyDescent="0.3">
      <c r="I7507" s="12"/>
      <c r="N7507" s="12"/>
      <c r="S7507" s="12"/>
      <c r="X7507" s="12"/>
      <c r="AM7507" s="12"/>
    </row>
    <row r="7508" spans="9:39" x14ac:dyDescent="0.3">
      <c r="I7508" s="12"/>
      <c r="N7508" s="12"/>
      <c r="S7508" s="12"/>
      <c r="X7508" s="12"/>
      <c r="AM7508" s="12"/>
    </row>
    <row r="7509" spans="9:39" x14ac:dyDescent="0.3">
      <c r="I7509" s="12"/>
      <c r="N7509" s="12"/>
      <c r="S7509" s="12"/>
      <c r="X7509" s="12"/>
      <c r="AM7509" s="12"/>
    </row>
    <row r="7510" spans="9:39" x14ac:dyDescent="0.3">
      <c r="I7510" s="12"/>
      <c r="N7510" s="12"/>
      <c r="S7510" s="12"/>
      <c r="X7510" s="12"/>
      <c r="AM7510" s="12"/>
    </row>
    <row r="7511" spans="9:39" x14ac:dyDescent="0.3">
      <c r="I7511" s="12"/>
      <c r="N7511" s="12"/>
      <c r="S7511" s="12"/>
      <c r="X7511" s="12"/>
      <c r="AM7511" s="12"/>
    </row>
    <row r="7512" spans="9:39" x14ac:dyDescent="0.3">
      <c r="I7512" s="12"/>
      <c r="N7512" s="12"/>
      <c r="S7512" s="12"/>
      <c r="X7512" s="12"/>
      <c r="AM7512" s="12"/>
    </row>
    <row r="7513" spans="9:39" x14ac:dyDescent="0.3">
      <c r="I7513" s="12"/>
      <c r="N7513" s="12"/>
      <c r="S7513" s="12"/>
      <c r="X7513" s="12"/>
      <c r="AM7513" s="12"/>
    </row>
    <row r="7514" spans="9:39" x14ac:dyDescent="0.3">
      <c r="I7514" s="12"/>
      <c r="N7514" s="12"/>
      <c r="S7514" s="12"/>
      <c r="X7514" s="12"/>
      <c r="AM7514" s="12"/>
    </row>
    <row r="7515" spans="9:39" x14ac:dyDescent="0.3">
      <c r="I7515" s="12"/>
      <c r="N7515" s="12"/>
      <c r="S7515" s="12"/>
      <c r="X7515" s="12"/>
      <c r="AM7515" s="12"/>
    </row>
    <row r="7516" spans="9:39" x14ac:dyDescent="0.3">
      <c r="I7516" s="12"/>
      <c r="N7516" s="12"/>
      <c r="S7516" s="12"/>
      <c r="X7516" s="12"/>
      <c r="AM7516" s="12"/>
    </row>
    <row r="7517" spans="9:39" x14ac:dyDescent="0.3">
      <c r="I7517" s="12"/>
      <c r="N7517" s="12"/>
      <c r="S7517" s="12"/>
      <c r="X7517" s="12"/>
      <c r="AM7517" s="12"/>
    </row>
    <row r="7518" spans="9:39" x14ac:dyDescent="0.3">
      <c r="I7518" s="12"/>
      <c r="N7518" s="12"/>
      <c r="S7518" s="12"/>
      <c r="X7518" s="12"/>
      <c r="AM7518" s="12"/>
    </row>
    <row r="7519" spans="9:39" x14ac:dyDescent="0.3">
      <c r="I7519" s="12"/>
      <c r="N7519" s="12"/>
      <c r="S7519" s="12"/>
      <c r="X7519" s="12"/>
      <c r="AM7519" s="12"/>
    </row>
    <row r="7520" spans="9:39" x14ac:dyDescent="0.3">
      <c r="I7520" s="12"/>
      <c r="N7520" s="12"/>
      <c r="S7520" s="12"/>
      <c r="X7520" s="12"/>
      <c r="AM7520" s="12"/>
    </row>
    <row r="7521" spans="9:39" x14ac:dyDescent="0.3">
      <c r="I7521" s="12"/>
      <c r="N7521" s="12"/>
      <c r="S7521" s="12"/>
      <c r="X7521" s="12"/>
      <c r="AM7521" s="12"/>
    </row>
    <row r="7522" spans="9:39" x14ac:dyDescent="0.3">
      <c r="I7522" s="12"/>
      <c r="N7522" s="12"/>
      <c r="S7522" s="12"/>
      <c r="X7522" s="12"/>
      <c r="AM7522" s="12"/>
    </row>
    <row r="7523" spans="9:39" x14ac:dyDescent="0.3">
      <c r="I7523" s="12"/>
      <c r="N7523" s="12"/>
      <c r="S7523" s="12"/>
      <c r="X7523" s="12"/>
      <c r="AM7523" s="12"/>
    </row>
    <row r="7524" spans="9:39" x14ac:dyDescent="0.3">
      <c r="I7524" s="12"/>
      <c r="N7524" s="12"/>
      <c r="S7524" s="12"/>
      <c r="X7524" s="12"/>
      <c r="AM7524" s="12"/>
    </row>
    <row r="7525" spans="9:39" x14ac:dyDescent="0.3">
      <c r="I7525" s="12"/>
      <c r="N7525" s="12"/>
      <c r="S7525" s="12"/>
      <c r="X7525" s="12"/>
      <c r="AM7525" s="12"/>
    </row>
    <row r="7526" spans="9:39" x14ac:dyDescent="0.3">
      <c r="I7526" s="12"/>
      <c r="N7526" s="12"/>
      <c r="S7526" s="12"/>
      <c r="X7526" s="12"/>
      <c r="AM7526" s="12"/>
    </row>
    <row r="7527" spans="9:39" x14ac:dyDescent="0.3">
      <c r="I7527" s="12"/>
      <c r="N7527" s="12"/>
      <c r="S7527" s="12"/>
      <c r="X7527" s="12"/>
      <c r="AM7527" s="12"/>
    </row>
    <row r="7528" spans="9:39" x14ac:dyDescent="0.3">
      <c r="I7528" s="12"/>
      <c r="N7528" s="12"/>
      <c r="S7528" s="12"/>
      <c r="X7528" s="12"/>
      <c r="AM7528" s="12"/>
    </row>
    <row r="7529" spans="9:39" x14ac:dyDescent="0.3">
      <c r="I7529" s="12"/>
      <c r="N7529" s="12"/>
      <c r="S7529" s="12"/>
      <c r="X7529" s="12"/>
      <c r="AM7529" s="12"/>
    </row>
    <row r="7530" spans="9:39" x14ac:dyDescent="0.3">
      <c r="I7530" s="12"/>
      <c r="N7530" s="12"/>
      <c r="S7530" s="12"/>
      <c r="X7530" s="12"/>
      <c r="AM7530" s="12"/>
    </row>
    <row r="7531" spans="9:39" x14ac:dyDescent="0.3">
      <c r="I7531" s="12"/>
      <c r="N7531" s="12"/>
      <c r="S7531" s="12"/>
      <c r="X7531" s="12"/>
      <c r="AM7531" s="12"/>
    </row>
    <row r="7532" spans="9:39" x14ac:dyDescent="0.3">
      <c r="I7532" s="12"/>
      <c r="N7532" s="12"/>
      <c r="S7532" s="12"/>
      <c r="X7532" s="12"/>
      <c r="AM7532" s="12"/>
    </row>
    <row r="7533" spans="9:39" x14ac:dyDescent="0.3">
      <c r="I7533" s="12"/>
      <c r="N7533" s="12"/>
      <c r="S7533" s="12"/>
      <c r="X7533" s="12"/>
      <c r="AM7533" s="12"/>
    </row>
    <row r="7534" spans="9:39" x14ac:dyDescent="0.3">
      <c r="I7534" s="12"/>
      <c r="N7534" s="12"/>
      <c r="S7534" s="12"/>
      <c r="X7534" s="12"/>
      <c r="AM7534" s="12"/>
    </row>
    <row r="7535" spans="9:39" x14ac:dyDescent="0.3">
      <c r="I7535" s="12"/>
      <c r="N7535" s="12"/>
      <c r="S7535" s="12"/>
      <c r="X7535" s="12"/>
      <c r="AM7535" s="12"/>
    </row>
    <row r="7536" spans="9:39" x14ac:dyDescent="0.3">
      <c r="I7536" s="12"/>
      <c r="N7536" s="12"/>
      <c r="S7536" s="12"/>
      <c r="X7536" s="12"/>
      <c r="AM7536" s="12"/>
    </row>
    <row r="7537" spans="9:39" x14ac:dyDescent="0.3">
      <c r="I7537" s="12"/>
      <c r="N7537" s="12"/>
      <c r="S7537" s="12"/>
      <c r="X7537" s="12"/>
      <c r="AM7537" s="12"/>
    </row>
    <row r="7538" spans="9:39" x14ac:dyDescent="0.3">
      <c r="I7538" s="12"/>
      <c r="N7538" s="12"/>
      <c r="S7538" s="12"/>
      <c r="X7538" s="12"/>
      <c r="AM7538" s="12"/>
    </row>
    <row r="7539" spans="9:39" x14ac:dyDescent="0.3">
      <c r="I7539" s="12"/>
      <c r="N7539" s="12"/>
      <c r="S7539" s="12"/>
      <c r="X7539" s="12"/>
      <c r="AM7539" s="12"/>
    </row>
    <row r="7540" spans="9:39" x14ac:dyDescent="0.3">
      <c r="I7540" s="12"/>
      <c r="N7540" s="12"/>
      <c r="S7540" s="12"/>
      <c r="X7540" s="12"/>
      <c r="AM7540" s="12"/>
    </row>
    <row r="7541" spans="9:39" x14ac:dyDescent="0.3">
      <c r="I7541" s="12"/>
      <c r="N7541" s="12"/>
      <c r="S7541" s="12"/>
      <c r="X7541" s="12"/>
      <c r="AM7541" s="12"/>
    </row>
    <row r="7542" spans="9:39" x14ac:dyDescent="0.3">
      <c r="I7542" s="12"/>
      <c r="N7542" s="12"/>
      <c r="S7542" s="12"/>
      <c r="X7542" s="12"/>
      <c r="AM7542" s="12"/>
    </row>
    <row r="7543" spans="9:39" x14ac:dyDescent="0.3">
      <c r="I7543" s="12"/>
      <c r="N7543" s="12"/>
      <c r="S7543" s="12"/>
      <c r="X7543" s="12"/>
      <c r="AM7543" s="12"/>
    </row>
    <row r="7544" spans="9:39" x14ac:dyDescent="0.3">
      <c r="I7544" s="12"/>
      <c r="N7544" s="12"/>
      <c r="S7544" s="12"/>
      <c r="X7544" s="12"/>
      <c r="AM7544" s="12"/>
    </row>
    <row r="7545" spans="9:39" x14ac:dyDescent="0.3">
      <c r="I7545" s="12"/>
      <c r="N7545" s="12"/>
      <c r="S7545" s="12"/>
      <c r="X7545" s="12"/>
      <c r="AM7545" s="12"/>
    </row>
    <row r="7546" spans="9:39" x14ac:dyDescent="0.3">
      <c r="I7546" s="12"/>
      <c r="N7546" s="12"/>
      <c r="S7546" s="12"/>
      <c r="X7546" s="12"/>
      <c r="AM7546" s="12"/>
    </row>
    <row r="7547" spans="9:39" x14ac:dyDescent="0.3">
      <c r="I7547" s="12"/>
      <c r="N7547" s="12"/>
      <c r="S7547" s="12"/>
      <c r="X7547" s="12"/>
      <c r="AM7547" s="12"/>
    </row>
    <row r="7548" spans="9:39" x14ac:dyDescent="0.3">
      <c r="I7548" s="12"/>
      <c r="N7548" s="12"/>
      <c r="S7548" s="12"/>
      <c r="X7548" s="12"/>
      <c r="AM7548" s="12"/>
    </row>
    <row r="7549" spans="9:39" x14ac:dyDescent="0.3">
      <c r="I7549" s="12"/>
      <c r="N7549" s="12"/>
      <c r="S7549" s="12"/>
      <c r="X7549" s="12"/>
      <c r="AM7549" s="12"/>
    </row>
    <row r="7550" spans="9:39" x14ac:dyDescent="0.3">
      <c r="I7550" s="12"/>
      <c r="N7550" s="12"/>
      <c r="S7550" s="12"/>
      <c r="X7550" s="12"/>
      <c r="AM7550" s="12"/>
    </row>
    <row r="7551" spans="9:39" x14ac:dyDescent="0.3">
      <c r="I7551" s="12"/>
      <c r="N7551" s="12"/>
      <c r="S7551" s="12"/>
      <c r="X7551" s="12"/>
      <c r="AM7551" s="12"/>
    </row>
    <row r="7552" spans="9:39" x14ac:dyDescent="0.3">
      <c r="I7552" s="12"/>
      <c r="N7552" s="12"/>
      <c r="S7552" s="12"/>
      <c r="X7552" s="12"/>
      <c r="AM7552" s="12"/>
    </row>
    <row r="7553" spans="9:39" x14ac:dyDescent="0.3">
      <c r="I7553" s="12"/>
      <c r="N7553" s="12"/>
      <c r="S7553" s="12"/>
      <c r="X7553" s="12"/>
      <c r="AM7553" s="12"/>
    </row>
    <row r="7554" spans="9:39" x14ac:dyDescent="0.3">
      <c r="I7554" s="12"/>
      <c r="N7554" s="12"/>
      <c r="S7554" s="12"/>
      <c r="X7554" s="12"/>
      <c r="AM7554" s="12"/>
    </row>
    <row r="7555" spans="9:39" x14ac:dyDescent="0.3">
      <c r="I7555" s="12"/>
      <c r="N7555" s="12"/>
      <c r="S7555" s="12"/>
      <c r="X7555" s="12"/>
      <c r="AM7555" s="12"/>
    </row>
    <row r="7556" spans="9:39" x14ac:dyDescent="0.3">
      <c r="I7556" s="12"/>
      <c r="N7556" s="12"/>
      <c r="S7556" s="12"/>
      <c r="X7556" s="12"/>
      <c r="AM7556" s="12"/>
    </row>
    <row r="7557" spans="9:39" x14ac:dyDescent="0.3">
      <c r="I7557" s="12"/>
      <c r="N7557" s="12"/>
      <c r="S7557" s="12"/>
      <c r="X7557" s="12"/>
      <c r="AM7557" s="12"/>
    </row>
    <row r="7558" spans="9:39" x14ac:dyDescent="0.3">
      <c r="I7558" s="12"/>
      <c r="N7558" s="12"/>
      <c r="S7558" s="12"/>
      <c r="X7558" s="12"/>
      <c r="AM7558" s="12"/>
    </row>
    <row r="7559" spans="9:39" x14ac:dyDescent="0.3">
      <c r="I7559" s="12"/>
      <c r="N7559" s="12"/>
      <c r="S7559" s="12"/>
      <c r="X7559" s="12"/>
      <c r="AM7559" s="12"/>
    </row>
    <row r="7560" spans="9:39" x14ac:dyDescent="0.3">
      <c r="I7560" s="12"/>
      <c r="N7560" s="12"/>
      <c r="S7560" s="12"/>
      <c r="X7560" s="12"/>
      <c r="AM7560" s="12"/>
    </row>
    <row r="7561" spans="9:39" x14ac:dyDescent="0.3">
      <c r="I7561" s="12"/>
      <c r="N7561" s="12"/>
      <c r="S7561" s="12"/>
      <c r="X7561" s="12"/>
      <c r="AM7561" s="12"/>
    </row>
    <row r="7562" spans="9:39" x14ac:dyDescent="0.3">
      <c r="I7562" s="12"/>
      <c r="N7562" s="12"/>
      <c r="S7562" s="12"/>
      <c r="X7562" s="12"/>
      <c r="AM7562" s="12"/>
    </row>
    <row r="7563" spans="9:39" x14ac:dyDescent="0.3">
      <c r="I7563" s="12"/>
      <c r="N7563" s="12"/>
      <c r="S7563" s="12"/>
      <c r="X7563" s="12"/>
      <c r="AM7563" s="12"/>
    </row>
    <row r="7564" spans="9:39" x14ac:dyDescent="0.3">
      <c r="I7564" s="12"/>
      <c r="N7564" s="12"/>
      <c r="S7564" s="12"/>
      <c r="X7564" s="12"/>
      <c r="AM7564" s="12"/>
    </row>
    <row r="7565" spans="9:39" x14ac:dyDescent="0.3">
      <c r="I7565" s="12"/>
      <c r="N7565" s="12"/>
      <c r="S7565" s="12"/>
      <c r="X7565" s="12"/>
      <c r="AM7565" s="12"/>
    </row>
    <row r="7566" spans="9:39" x14ac:dyDescent="0.3">
      <c r="I7566" s="12"/>
      <c r="N7566" s="12"/>
      <c r="S7566" s="12"/>
      <c r="X7566" s="12"/>
      <c r="AM7566" s="12"/>
    </row>
    <row r="7567" spans="9:39" x14ac:dyDescent="0.3">
      <c r="I7567" s="12"/>
      <c r="N7567" s="12"/>
      <c r="S7567" s="12"/>
      <c r="X7567" s="12"/>
      <c r="AM7567" s="12"/>
    </row>
    <row r="7568" spans="9:39" x14ac:dyDescent="0.3">
      <c r="I7568" s="12"/>
      <c r="N7568" s="12"/>
      <c r="S7568" s="12"/>
      <c r="X7568" s="12"/>
      <c r="AM7568" s="12"/>
    </row>
    <row r="7569" spans="9:39" x14ac:dyDescent="0.3">
      <c r="I7569" s="12"/>
      <c r="N7569" s="12"/>
      <c r="S7569" s="12"/>
      <c r="X7569" s="12"/>
      <c r="AM7569" s="12"/>
    </row>
    <row r="7570" spans="9:39" x14ac:dyDescent="0.3">
      <c r="I7570" s="12"/>
      <c r="N7570" s="12"/>
      <c r="S7570" s="12"/>
      <c r="X7570" s="12"/>
      <c r="AM7570" s="12"/>
    </row>
    <row r="7571" spans="9:39" x14ac:dyDescent="0.3">
      <c r="I7571" s="12"/>
      <c r="N7571" s="12"/>
      <c r="S7571" s="12"/>
      <c r="X7571" s="12"/>
      <c r="AM7571" s="12"/>
    </row>
    <row r="7572" spans="9:39" x14ac:dyDescent="0.3">
      <c r="I7572" s="12"/>
      <c r="N7572" s="12"/>
      <c r="S7572" s="12"/>
      <c r="X7572" s="12"/>
      <c r="AM7572" s="12"/>
    </row>
    <row r="7573" spans="9:39" x14ac:dyDescent="0.3">
      <c r="I7573" s="12"/>
      <c r="N7573" s="12"/>
      <c r="S7573" s="12"/>
      <c r="X7573" s="12"/>
      <c r="AM7573" s="12"/>
    </row>
    <row r="7574" spans="9:39" x14ac:dyDescent="0.3">
      <c r="I7574" s="12"/>
      <c r="N7574" s="12"/>
      <c r="S7574" s="12"/>
      <c r="X7574" s="12"/>
      <c r="AM7574" s="12"/>
    </row>
    <row r="7575" spans="9:39" x14ac:dyDescent="0.3">
      <c r="I7575" s="12"/>
      <c r="N7575" s="12"/>
      <c r="S7575" s="12"/>
      <c r="X7575" s="12"/>
      <c r="AM7575" s="12"/>
    </row>
    <row r="7576" spans="9:39" x14ac:dyDescent="0.3">
      <c r="I7576" s="12"/>
      <c r="N7576" s="12"/>
      <c r="S7576" s="12"/>
      <c r="X7576" s="12"/>
      <c r="AM7576" s="12"/>
    </row>
    <row r="7577" spans="9:39" x14ac:dyDescent="0.3">
      <c r="I7577" s="12"/>
      <c r="N7577" s="12"/>
      <c r="S7577" s="12"/>
      <c r="X7577" s="12"/>
      <c r="AM7577" s="12"/>
    </row>
    <row r="7578" spans="9:39" x14ac:dyDescent="0.3">
      <c r="I7578" s="12"/>
      <c r="N7578" s="12"/>
      <c r="S7578" s="12"/>
      <c r="X7578" s="12"/>
      <c r="AM7578" s="12"/>
    </row>
    <row r="7579" spans="9:39" x14ac:dyDescent="0.3">
      <c r="I7579" s="12"/>
      <c r="N7579" s="12"/>
      <c r="S7579" s="12"/>
      <c r="X7579" s="12"/>
      <c r="AM7579" s="12"/>
    </row>
    <row r="7580" spans="9:39" x14ac:dyDescent="0.3">
      <c r="I7580" s="12"/>
      <c r="N7580" s="12"/>
      <c r="S7580" s="12"/>
      <c r="X7580" s="12"/>
      <c r="AM7580" s="12"/>
    </row>
    <row r="7581" spans="9:39" x14ac:dyDescent="0.3">
      <c r="I7581" s="12"/>
      <c r="N7581" s="12"/>
      <c r="S7581" s="12"/>
      <c r="X7581" s="12"/>
      <c r="AM7581" s="12"/>
    </row>
    <row r="7582" spans="9:39" x14ac:dyDescent="0.3">
      <c r="I7582" s="12"/>
      <c r="N7582" s="12"/>
      <c r="S7582" s="12"/>
      <c r="X7582" s="12"/>
      <c r="AM7582" s="12"/>
    </row>
    <row r="7583" spans="9:39" x14ac:dyDescent="0.3">
      <c r="I7583" s="12"/>
      <c r="N7583" s="12"/>
      <c r="S7583" s="12"/>
      <c r="X7583" s="12"/>
      <c r="AM7583" s="12"/>
    </row>
    <row r="7584" spans="9:39" x14ac:dyDescent="0.3">
      <c r="I7584" s="12"/>
      <c r="N7584" s="12"/>
      <c r="S7584" s="12"/>
      <c r="X7584" s="12"/>
      <c r="AM7584" s="12"/>
    </row>
    <row r="7585" spans="9:39" x14ac:dyDescent="0.3">
      <c r="I7585" s="12"/>
      <c r="N7585" s="12"/>
      <c r="S7585" s="12"/>
      <c r="X7585" s="12"/>
      <c r="AM7585" s="12"/>
    </row>
    <row r="7586" spans="9:39" x14ac:dyDescent="0.3">
      <c r="I7586" s="12"/>
      <c r="N7586" s="12"/>
      <c r="S7586" s="12"/>
      <c r="X7586" s="12"/>
      <c r="AM7586" s="12"/>
    </row>
    <row r="7587" spans="9:39" x14ac:dyDescent="0.3">
      <c r="I7587" s="12"/>
      <c r="N7587" s="12"/>
      <c r="S7587" s="12"/>
      <c r="X7587" s="12"/>
      <c r="AM7587" s="12"/>
    </row>
    <row r="7588" spans="9:39" x14ac:dyDescent="0.3">
      <c r="I7588" s="12"/>
      <c r="N7588" s="12"/>
      <c r="S7588" s="12"/>
      <c r="X7588" s="12"/>
      <c r="AM7588" s="12"/>
    </row>
    <row r="7589" spans="9:39" x14ac:dyDescent="0.3">
      <c r="I7589" s="12"/>
      <c r="N7589" s="12"/>
      <c r="S7589" s="12"/>
      <c r="X7589" s="12"/>
      <c r="AM7589" s="12"/>
    </row>
    <row r="7590" spans="9:39" x14ac:dyDescent="0.3">
      <c r="I7590" s="12"/>
      <c r="N7590" s="12"/>
      <c r="S7590" s="12"/>
      <c r="X7590" s="12"/>
      <c r="AM7590" s="12"/>
    </row>
    <row r="7591" spans="9:39" x14ac:dyDescent="0.3">
      <c r="I7591" s="12"/>
      <c r="N7591" s="12"/>
      <c r="S7591" s="12"/>
      <c r="X7591" s="12"/>
      <c r="AM7591" s="12"/>
    </row>
    <row r="7592" spans="9:39" x14ac:dyDescent="0.3">
      <c r="I7592" s="12"/>
      <c r="N7592" s="12"/>
      <c r="S7592" s="12"/>
      <c r="X7592" s="12"/>
      <c r="AM7592" s="12"/>
    </row>
    <row r="7593" spans="9:39" x14ac:dyDescent="0.3">
      <c r="I7593" s="12"/>
      <c r="N7593" s="12"/>
      <c r="S7593" s="12"/>
      <c r="X7593" s="12"/>
      <c r="AM7593" s="12"/>
    </row>
    <row r="7594" spans="9:39" x14ac:dyDescent="0.3">
      <c r="I7594" s="12"/>
      <c r="N7594" s="12"/>
      <c r="S7594" s="12"/>
      <c r="X7594" s="12"/>
      <c r="AM7594" s="12"/>
    </row>
    <row r="7595" spans="9:39" x14ac:dyDescent="0.3">
      <c r="I7595" s="12"/>
      <c r="N7595" s="12"/>
      <c r="S7595" s="12"/>
      <c r="X7595" s="12"/>
      <c r="AM7595" s="12"/>
    </row>
    <row r="7596" spans="9:39" x14ac:dyDescent="0.3">
      <c r="I7596" s="12"/>
      <c r="N7596" s="12"/>
      <c r="S7596" s="12"/>
      <c r="X7596" s="12"/>
      <c r="AM7596" s="12"/>
    </row>
    <row r="7597" spans="9:39" x14ac:dyDescent="0.3">
      <c r="I7597" s="12"/>
      <c r="N7597" s="12"/>
      <c r="S7597" s="12"/>
      <c r="X7597" s="12"/>
      <c r="AM7597" s="12"/>
    </row>
    <row r="7598" spans="9:39" x14ac:dyDescent="0.3">
      <c r="I7598" s="12"/>
      <c r="N7598" s="12"/>
      <c r="S7598" s="12"/>
      <c r="X7598" s="12"/>
      <c r="AM7598" s="12"/>
    </row>
    <row r="7599" spans="9:39" x14ac:dyDescent="0.3">
      <c r="I7599" s="12"/>
      <c r="N7599" s="12"/>
      <c r="S7599" s="12"/>
      <c r="X7599" s="12"/>
      <c r="AM7599" s="12"/>
    </row>
    <row r="7600" spans="9:39" x14ac:dyDescent="0.3">
      <c r="I7600" s="12"/>
      <c r="N7600" s="12"/>
      <c r="S7600" s="12"/>
      <c r="X7600" s="12"/>
      <c r="AM7600" s="12"/>
    </row>
    <row r="7601" spans="9:39" x14ac:dyDescent="0.3">
      <c r="I7601" s="12"/>
      <c r="N7601" s="12"/>
      <c r="S7601" s="12"/>
      <c r="X7601" s="12"/>
      <c r="AM7601" s="12"/>
    </row>
    <row r="7602" spans="9:39" x14ac:dyDescent="0.3">
      <c r="I7602" s="12"/>
      <c r="N7602" s="12"/>
      <c r="S7602" s="12"/>
      <c r="X7602" s="12"/>
      <c r="AM7602" s="12"/>
    </row>
    <row r="7603" spans="9:39" x14ac:dyDescent="0.3">
      <c r="I7603" s="12"/>
      <c r="N7603" s="12"/>
      <c r="S7603" s="12"/>
      <c r="X7603" s="12"/>
      <c r="AM7603" s="12"/>
    </row>
    <row r="7604" spans="9:39" x14ac:dyDescent="0.3">
      <c r="I7604" s="12"/>
      <c r="N7604" s="12"/>
      <c r="S7604" s="12"/>
      <c r="X7604" s="12"/>
      <c r="AM7604" s="12"/>
    </row>
    <row r="7605" spans="9:39" x14ac:dyDescent="0.3">
      <c r="I7605" s="12"/>
      <c r="N7605" s="12"/>
      <c r="S7605" s="12"/>
      <c r="X7605" s="12"/>
      <c r="AM7605" s="12"/>
    </row>
    <row r="7606" spans="9:39" x14ac:dyDescent="0.3">
      <c r="I7606" s="12"/>
      <c r="N7606" s="12"/>
      <c r="S7606" s="12"/>
      <c r="X7606" s="12"/>
      <c r="AM7606" s="12"/>
    </row>
    <row r="7607" spans="9:39" x14ac:dyDescent="0.3">
      <c r="I7607" s="12"/>
      <c r="N7607" s="12"/>
      <c r="S7607" s="12"/>
      <c r="X7607" s="12"/>
      <c r="AM7607" s="12"/>
    </row>
    <row r="7608" spans="9:39" x14ac:dyDescent="0.3">
      <c r="I7608" s="12"/>
      <c r="N7608" s="12"/>
      <c r="S7608" s="12"/>
      <c r="X7608" s="12"/>
      <c r="AM7608" s="12"/>
    </row>
    <row r="7609" spans="9:39" x14ac:dyDescent="0.3">
      <c r="I7609" s="12"/>
      <c r="N7609" s="12"/>
      <c r="S7609" s="12"/>
      <c r="X7609" s="12"/>
      <c r="AM7609" s="12"/>
    </row>
    <row r="7610" spans="9:39" x14ac:dyDescent="0.3">
      <c r="I7610" s="12"/>
      <c r="N7610" s="12"/>
      <c r="S7610" s="12"/>
      <c r="X7610" s="12"/>
      <c r="AM7610" s="12"/>
    </row>
    <row r="7611" spans="9:39" x14ac:dyDescent="0.3">
      <c r="I7611" s="12"/>
      <c r="N7611" s="12"/>
      <c r="S7611" s="12"/>
      <c r="X7611" s="12"/>
      <c r="AM7611" s="12"/>
    </row>
    <row r="7612" spans="9:39" x14ac:dyDescent="0.3">
      <c r="I7612" s="12"/>
      <c r="N7612" s="12"/>
      <c r="S7612" s="12"/>
      <c r="X7612" s="12"/>
      <c r="AM7612" s="12"/>
    </row>
    <row r="7613" spans="9:39" x14ac:dyDescent="0.3">
      <c r="I7613" s="12"/>
      <c r="N7613" s="12"/>
      <c r="S7613" s="12"/>
      <c r="X7613" s="12"/>
      <c r="AM7613" s="12"/>
    </row>
    <row r="7614" spans="9:39" x14ac:dyDescent="0.3">
      <c r="I7614" s="12"/>
      <c r="N7614" s="12"/>
      <c r="S7614" s="12"/>
      <c r="X7614" s="12"/>
      <c r="AM7614" s="12"/>
    </row>
    <row r="7615" spans="9:39" x14ac:dyDescent="0.3">
      <c r="I7615" s="12"/>
      <c r="N7615" s="12"/>
      <c r="S7615" s="12"/>
      <c r="X7615" s="12"/>
      <c r="AM7615" s="12"/>
    </row>
    <row r="7616" spans="9:39" x14ac:dyDescent="0.3">
      <c r="I7616" s="12"/>
      <c r="N7616" s="12"/>
      <c r="S7616" s="12"/>
      <c r="X7616" s="12"/>
      <c r="AM7616" s="12"/>
    </row>
    <row r="7617" spans="9:39" x14ac:dyDescent="0.3">
      <c r="I7617" s="12"/>
      <c r="N7617" s="12"/>
      <c r="S7617" s="12"/>
      <c r="X7617" s="12"/>
      <c r="AM7617" s="12"/>
    </row>
    <row r="7618" spans="9:39" x14ac:dyDescent="0.3">
      <c r="I7618" s="12"/>
      <c r="N7618" s="12"/>
      <c r="S7618" s="12"/>
      <c r="X7618" s="12"/>
      <c r="AM7618" s="12"/>
    </row>
    <row r="7619" spans="9:39" x14ac:dyDescent="0.3">
      <c r="I7619" s="12"/>
      <c r="N7619" s="12"/>
      <c r="S7619" s="12"/>
      <c r="X7619" s="12"/>
      <c r="AM7619" s="12"/>
    </row>
    <row r="7620" spans="9:39" x14ac:dyDescent="0.3">
      <c r="I7620" s="12"/>
      <c r="N7620" s="12"/>
      <c r="S7620" s="12"/>
      <c r="X7620" s="12"/>
      <c r="AM7620" s="12"/>
    </row>
    <row r="7621" spans="9:39" x14ac:dyDescent="0.3">
      <c r="I7621" s="12"/>
      <c r="N7621" s="12"/>
      <c r="S7621" s="12"/>
      <c r="X7621" s="12"/>
      <c r="AM7621" s="12"/>
    </row>
    <row r="7622" spans="9:39" x14ac:dyDescent="0.3">
      <c r="I7622" s="12"/>
      <c r="N7622" s="12"/>
      <c r="S7622" s="12"/>
      <c r="X7622" s="12"/>
      <c r="AM7622" s="12"/>
    </row>
    <row r="7623" spans="9:39" x14ac:dyDescent="0.3">
      <c r="I7623" s="12"/>
      <c r="N7623" s="12"/>
      <c r="S7623" s="12"/>
      <c r="X7623" s="12"/>
      <c r="AM7623" s="12"/>
    </row>
    <row r="7624" spans="9:39" x14ac:dyDescent="0.3">
      <c r="I7624" s="12"/>
      <c r="N7624" s="12"/>
      <c r="S7624" s="12"/>
      <c r="X7624" s="12"/>
      <c r="AM7624" s="12"/>
    </row>
    <row r="7625" spans="9:39" x14ac:dyDescent="0.3">
      <c r="I7625" s="12"/>
      <c r="N7625" s="12"/>
      <c r="S7625" s="12"/>
      <c r="X7625" s="12"/>
      <c r="AM7625" s="12"/>
    </row>
    <row r="7626" spans="9:39" x14ac:dyDescent="0.3">
      <c r="I7626" s="12"/>
      <c r="N7626" s="12"/>
      <c r="S7626" s="12"/>
      <c r="X7626" s="12"/>
      <c r="AM7626" s="12"/>
    </row>
    <row r="7627" spans="9:39" x14ac:dyDescent="0.3">
      <c r="I7627" s="12"/>
      <c r="N7627" s="12"/>
      <c r="S7627" s="12"/>
      <c r="X7627" s="12"/>
      <c r="AM7627" s="12"/>
    </row>
    <row r="7628" spans="9:39" x14ac:dyDescent="0.3">
      <c r="I7628" s="12"/>
      <c r="N7628" s="12"/>
      <c r="S7628" s="12"/>
      <c r="X7628" s="12"/>
      <c r="AM7628" s="12"/>
    </row>
    <row r="7629" spans="9:39" x14ac:dyDescent="0.3">
      <c r="I7629" s="12"/>
      <c r="N7629" s="12"/>
      <c r="S7629" s="12"/>
      <c r="X7629" s="12"/>
      <c r="AM7629" s="12"/>
    </row>
    <row r="7630" spans="9:39" x14ac:dyDescent="0.3">
      <c r="I7630" s="12"/>
      <c r="N7630" s="12"/>
      <c r="S7630" s="12"/>
      <c r="X7630" s="12"/>
      <c r="AM7630" s="12"/>
    </row>
    <row r="7631" spans="9:39" x14ac:dyDescent="0.3">
      <c r="I7631" s="12"/>
      <c r="N7631" s="12"/>
      <c r="S7631" s="12"/>
      <c r="X7631" s="12"/>
      <c r="AM7631" s="12"/>
    </row>
    <row r="7632" spans="9:39" x14ac:dyDescent="0.3">
      <c r="I7632" s="12"/>
      <c r="N7632" s="12"/>
      <c r="S7632" s="12"/>
      <c r="X7632" s="12"/>
      <c r="AM7632" s="12"/>
    </row>
    <row r="7633" spans="9:39" x14ac:dyDescent="0.3">
      <c r="I7633" s="12"/>
      <c r="N7633" s="12"/>
      <c r="S7633" s="12"/>
      <c r="X7633" s="12"/>
      <c r="AM7633" s="12"/>
    </row>
    <row r="7634" spans="9:39" x14ac:dyDescent="0.3">
      <c r="I7634" s="12"/>
      <c r="N7634" s="12"/>
      <c r="S7634" s="12"/>
      <c r="X7634" s="12"/>
      <c r="AM7634" s="12"/>
    </row>
    <row r="7635" spans="9:39" x14ac:dyDescent="0.3">
      <c r="I7635" s="12"/>
      <c r="N7635" s="12"/>
      <c r="S7635" s="12"/>
      <c r="X7635" s="12"/>
      <c r="AM7635" s="12"/>
    </row>
    <row r="7636" spans="9:39" x14ac:dyDescent="0.3">
      <c r="I7636" s="12"/>
      <c r="N7636" s="12"/>
      <c r="S7636" s="12"/>
      <c r="X7636" s="12"/>
      <c r="AM7636" s="12"/>
    </row>
    <row r="7637" spans="9:39" x14ac:dyDescent="0.3">
      <c r="I7637" s="12"/>
      <c r="N7637" s="12"/>
      <c r="S7637" s="12"/>
      <c r="X7637" s="12"/>
      <c r="AM7637" s="12"/>
    </row>
    <row r="7638" spans="9:39" x14ac:dyDescent="0.3">
      <c r="I7638" s="12"/>
      <c r="N7638" s="12"/>
      <c r="S7638" s="12"/>
      <c r="X7638" s="12"/>
      <c r="AM7638" s="12"/>
    </row>
    <row r="7639" spans="9:39" x14ac:dyDescent="0.3">
      <c r="I7639" s="12"/>
      <c r="N7639" s="12"/>
      <c r="S7639" s="12"/>
      <c r="X7639" s="12"/>
      <c r="AM7639" s="12"/>
    </row>
    <row r="7640" spans="9:39" x14ac:dyDescent="0.3">
      <c r="I7640" s="12"/>
      <c r="N7640" s="12"/>
      <c r="S7640" s="12"/>
      <c r="X7640" s="12"/>
      <c r="AM7640" s="12"/>
    </row>
    <row r="7641" spans="9:39" x14ac:dyDescent="0.3">
      <c r="I7641" s="12"/>
      <c r="N7641" s="12"/>
      <c r="S7641" s="12"/>
      <c r="X7641" s="12"/>
      <c r="AM7641" s="12"/>
    </row>
    <row r="7642" spans="9:39" x14ac:dyDescent="0.3">
      <c r="I7642" s="12"/>
      <c r="N7642" s="12"/>
      <c r="S7642" s="12"/>
      <c r="X7642" s="12"/>
      <c r="AM7642" s="12"/>
    </row>
    <row r="7643" spans="9:39" x14ac:dyDescent="0.3">
      <c r="I7643" s="12"/>
      <c r="N7643" s="12"/>
      <c r="S7643" s="12"/>
      <c r="X7643" s="12"/>
      <c r="AM7643" s="12"/>
    </row>
    <row r="7644" spans="9:39" x14ac:dyDescent="0.3">
      <c r="I7644" s="12"/>
      <c r="N7644" s="12"/>
      <c r="S7644" s="12"/>
      <c r="X7644" s="12"/>
      <c r="AM7644" s="12"/>
    </row>
    <row r="7645" spans="9:39" x14ac:dyDescent="0.3">
      <c r="I7645" s="12"/>
      <c r="N7645" s="12"/>
      <c r="S7645" s="12"/>
      <c r="X7645" s="12"/>
      <c r="AM7645" s="12"/>
    </row>
    <row r="7646" spans="9:39" x14ac:dyDescent="0.3">
      <c r="I7646" s="12"/>
      <c r="N7646" s="12"/>
      <c r="S7646" s="12"/>
      <c r="X7646" s="12"/>
      <c r="AM7646" s="12"/>
    </row>
    <row r="7647" spans="9:39" x14ac:dyDescent="0.3">
      <c r="I7647" s="12"/>
      <c r="N7647" s="12"/>
      <c r="S7647" s="12"/>
      <c r="X7647" s="12"/>
      <c r="AM7647" s="12"/>
    </row>
    <row r="7648" spans="9:39" x14ac:dyDescent="0.3">
      <c r="I7648" s="12"/>
      <c r="N7648" s="12"/>
      <c r="S7648" s="12"/>
      <c r="X7648" s="12"/>
      <c r="AM7648" s="12"/>
    </row>
    <row r="7649" spans="9:39" x14ac:dyDescent="0.3">
      <c r="I7649" s="12"/>
      <c r="N7649" s="12"/>
      <c r="S7649" s="12"/>
      <c r="X7649" s="12"/>
      <c r="AM7649" s="12"/>
    </row>
    <row r="7650" spans="9:39" x14ac:dyDescent="0.3">
      <c r="I7650" s="12"/>
      <c r="N7650" s="12"/>
      <c r="S7650" s="12"/>
      <c r="X7650" s="12"/>
      <c r="AM7650" s="12"/>
    </row>
    <row r="7651" spans="9:39" x14ac:dyDescent="0.3">
      <c r="I7651" s="12"/>
      <c r="N7651" s="12"/>
      <c r="S7651" s="12"/>
      <c r="X7651" s="12"/>
      <c r="AM7651" s="12"/>
    </row>
    <row r="7652" spans="9:39" x14ac:dyDescent="0.3">
      <c r="I7652" s="12"/>
      <c r="N7652" s="12"/>
      <c r="S7652" s="12"/>
      <c r="X7652" s="12"/>
      <c r="AM7652" s="12"/>
    </row>
    <row r="7653" spans="9:39" x14ac:dyDescent="0.3">
      <c r="I7653" s="12"/>
      <c r="N7653" s="12"/>
      <c r="S7653" s="12"/>
      <c r="X7653" s="12"/>
      <c r="AM7653" s="12"/>
    </row>
    <row r="7654" spans="9:39" x14ac:dyDescent="0.3">
      <c r="I7654" s="12"/>
      <c r="N7654" s="12"/>
      <c r="S7654" s="12"/>
      <c r="X7654" s="12"/>
      <c r="AM7654" s="12"/>
    </row>
    <row r="7655" spans="9:39" x14ac:dyDescent="0.3">
      <c r="I7655" s="12"/>
      <c r="N7655" s="12"/>
      <c r="S7655" s="12"/>
      <c r="X7655" s="12"/>
      <c r="AM7655" s="12"/>
    </row>
    <row r="7656" spans="9:39" x14ac:dyDescent="0.3">
      <c r="I7656" s="12"/>
      <c r="N7656" s="12"/>
      <c r="S7656" s="12"/>
      <c r="X7656" s="12"/>
      <c r="AM7656" s="12"/>
    </row>
    <row r="7657" spans="9:39" x14ac:dyDescent="0.3">
      <c r="I7657" s="12"/>
      <c r="N7657" s="12"/>
      <c r="S7657" s="12"/>
      <c r="X7657" s="12"/>
      <c r="AM7657" s="12"/>
    </row>
    <row r="7658" spans="9:39" x14ac:dyDescent="0.3">
      <c r="I7658" s="12"/>
      <c r="N7658" s="12"/>
      <c r="S7658" s="12"/>
      <c r="X7658" s="12"/>
      <c r="AM7658" s="12"/>
    </row>
    <row r="7659" spans="9:39" x14ac:dyDescent="0.3">
      <c r="I7659" s="12"/>
      <c r="N7659" s="12"/>
      <c r="S7659" s="12"/>
      <c r="X7659" s="12"/>
      <c r="AM7659" s="12"/>
    </row>
    <row r="7660" spans="9:39" x14ac:dyDescent="0.3">
      <c r="I7660" s="12"/>
      <c r="N7660" s="12"/>
      <c r="S7660" s="12"/>
      <c r="X7660" s="12"/>
      <c r="AM7660" s="12"/>
    </row>
    <row r="7661" spans="9:39" x14ac:dyDescent="0.3">
      <c r="I7661" s="12"/>
      <c r="N7661" s="12"/>
      <c r="S7661" s="12"/>
      <c r="X7661" s="12"/>
      <c r="AM7661" s="12"/>
    </row>
    <row r="7662" spans="9:39" x14ac:dyDescent="0.3">
      <c r="I7662" s="12"/>
      <c r="N7662" s="12"/>
      <c r="S7662" s="12"/>
      <c r="X7662" s="12"/>
      <c r="AM7662" s="12"/>
    </row>
    <row r="7663" spans="9:39" x14ac:dyDescent="0.3">
      <c r="I7663" s="12"/>
      <c r="N7663" s="12"/>
      <c r="S7663" s="12"/>
      <c r="X7663" s="12"/>
      <c r="AM7663" s="12"/>
    </row>
    <row r="7664" spans="9:39" x14ac:dyDescent="0.3">
      <c r="I7664" s="12"/>
      <c r="N7664" s="12"/>
      <c r="S7664" s="12"/>
      <c r="X7664" s="12"/>
      <c r="AM7664" s="12"/>
    </row>
    <row r="7665" spans="9:39" x14ac:dyDescent="0.3">
      <c r="I7665" s="12"/>
      <c r="N7665" s="12"/>
      <c r="S7665" s="12"/>
      <c r="X7665" s="12"/>
      <c r="AM7665" s="12"/>
    </row>
    <row r="7666" spans="9:39" x14ac:dyDescent="0.3">
      <c r="I7666" s="12"/>
      <c r="N7666" s="12"/>
      <c r="S7666" s="12"/>
      <c r="X7666" s="12"/>
      <c r="AM7666" s="12"/>
    </row>
    <row r="7667" spans="9:39" x14ac:dyDescent="0.3">
      <c r="I7667" s="12"/>
      <c r="N7667" s="12"/>
      <c r="S7667" s="12"/>
      <c r="X7667" s="12"/>
      <c r="AM7667" s="12"/>
    </row>
    <row r="7668" spans="9:39" x14ac:dyDescent="0.3">
      <c r="I7668" s="12"/>
      <c r="N7668" s="12"/>
      <c r="S7668" s="12"/>
      <c r="X7668" s="12"/>
      <c r="AM7668" s="12"/>
    </row>
    <row r="7669" spans="9:39" x14ac:dyDescent="0.3">
      <c r="I7669" s="12"/>
      <c r="N7669" s="12"/>
      <c r="S7669" s="12"/>
      <c r="X7669" s="12"/>
      <c r="AM7669" s="12"/>
    </row>
    <row r="7670" spans="9:39" x14ac:dyDescent="0.3">
      <c r="I7670" s="12"/>
      <c r="N7670" s="12"/>
      <c r="S7670" s="12"/>
      <c r="X7670" s="12"/>
      <c r="AM7670" s="12"/>
    </row>
    <row r="7671" spans="9:39" x14ac:dyDescent="0.3">
      <c r="I7671" s="12"/>
      <c r="N7671" s="12"/>
      <c r="S7671" s="12"/>
      <c r="X7671" s="12"/>
      <c r="AM7671" s="12"/>
    </row>
    <row r="7672" spans="9:39" x14ac:dyDescent="0.3">
      <c r="I7672" s="12"/>
      <c r="N7672" s="12"/>
      <c r="S7672" s="12"/>
      <c r="X7672" s="12"/>
      <c r="AM7672" s="12"/>
    </row>
    <row r="7673" spans="9:39" x14ac:dyDescent="0.3">
      <c r="I7673" s="12"/>
      <c r="N7673" s="12"/>
      <c r="S7673" s="12"/>
      <c r="X7673" s="12"/>
      <c r="AM7673" s="12"/>
    </row>
    <row r="7674" spans="9:39" x14ac:dyDescent="0.3">
      <c r="I7674" s="12"/>
      <c r="N7674" s="12"/>
      <c r="S7674" s="12"/>
      <c r="X7674" s="12"/>
      <c r="AM7674" s="12"/>
    </row>
    <row r="7675" spans="9:39" x14ac:dyDescent="0.3">
      <c r="I7675" s="12"/>
      <c r="N7675" s="12"/>
      <c r="S7675" s="12"/>
      <c r="X7675" s="12"/>
      <c r="AM7675" s="12"/>
    </row>
    <row r="7676" spans="9:39" x14ac:dyDescent="0.3">
      <c r="I7676" s="12"/>
      <c r="N7676" s="12"/>
      <c r="S7676" s="12"/>
      <c r="X7676" s="12"/>
      <c r="AM7676" s="12"/>
    </row>
    <row r="7677" spans="9:39" x14ac:dyDescent="0.3">
      <c r="I7677" s="12"/>
      <c r="N7677" s="12"/>
      <c r="S7677" s="12"/>
      <c r="X7677" s="12"/>
      <c r="AM7677" s="12"/>
    </row>
    <row r="7678" spans="9:39" x14ac:dyDescent="0.3">
      <c r="I7678" s="12"/>
      <c r="N7678" s="12"/>
      <c r="S7678" s="12"/>
      <c r="X7678" s="12"/>
      <c r="AM7678" s="12"/>
    </row>
    <row r="7679" spans="9:39" x14ac:dyDescent="0.3">
      <c r="I7679" s="12"/>
      <c r="N7679" s="12"/>
      <c r="S7679" s="12"/>
      <c r="X7679" s="12"/>
      <c r="AM7679" s="12"/>
    </row>
    <row r="7680" spans="9:39" x14ac:dyDescent="0.3">
      <c r="I7680" s="12"/>
      <c r="N7680" s="12"/>
      <c r="S7680" s="12"/>
      <c r="X7680" s="12"/>
      <c r="AM7680" s="12"/>
    </row>
    <row r="7681" spans="9:39" x14ac:dyDescent="0.3">
      <c r="I7681" s="12"/>
      <c r="N7681" s="12"/>
      <c r="S7681" s="12"/>
      <c r="X7681" s="12"/>
      <c r="AM7681" s="12"/>
    </row>
    <row r="7682" spans="9:39" x14ac:dyDescent="0.3">
      <c r="I7682" s="12"/>
      <c r="N7682" s="12"/>
      <c r="S7682" s="12"/>
      <c r="X7682" s="12"/>
      <c r="AM7682" s="12"/>
    </row>
    <row r="7683" spans="9:39" x14ac:dyDescent="0.3">
      <c r="I7683" s="12"/>
      <c r="N7683" s="12"/>
      <c r="S7683" s="12"/>
      <c r="X7683" s="12"/>
      <c r="AM7683" s="12"/>
    </row>
    <row r="7684" spans="9:39" x14ac:dyDescent="0.3">
      <c r="I7684" s="12"/>
      <c r="N7684" s="12"/>
      <c r="S7684" s="12"/>
      <c r="X7684" s="12"/>
      <c r="AM7684" s="12"/>
    </row>
    <row r="7685" spans="9:39" x14ac:dyDescent="0.3">
      <c r="I7685" s="12"/>
      <c r="N7685" s="12"/>
      <c r="S7685" s="12"/>
      <c r="X7685" s="12"/>
      <c r="AM7685" s="12"/>
    </row>
    <row r="7686" spans="9:39" x14ac:dyDescent="0.3">
      <c r="I7686" s="12"/>
      <c r="N7686" s="12"/>
      <c r="S7686" s="12"/>
      <c r="X7686" s="12"/>
      <c r="AM7686" s="12"/>
    </row>
    <row r="7687" spans="9:39" x14ac:dyDescent="0.3">
      <c r="I7687" s="12"/>
      <c r="N7687" s="12"/>
      <c r="S7687" s="12"/>
      <c r="X7687" s="12"/>
      <c r="AM7687" s="12"/>
    </row>
    <row r="7688" spans="9:39" x14ac:dyDescent="0.3">
      <c r="I7688" s="12"/>
      <c r="N7688" s="12"/>
      <c r="S7688" s="12"/>
      <c r="X7688" s="12"/>
      <c r="AM7688" s="12"/>
    </row>
    <row r="7689" spans="9:39" x14ac:dyDescent="0.3">
      <c r="I7689" s="12"/>
      <c r="N7689" s="12"/>
      <c r="S7689" s="12"/>
      <c r="X7689" s="12"/>
      <c r="AM7689" s="12"/>
    </row>
    <row r="7690" spans="9:39" x14ac:dyDescent="0.3">
      <c r="I7690" s="12"/>
      <c r="N7690" s="12"/>
      <c r="S7690" s="12"/>
      <c r="X7690" s="12"/>
      <c r="AM7690" s="12"/>
    </row>
    <row r="7691" spans="9:39" x14ac:dyDescent="0.3">
      <c r="I7691" s="12"/>
      <c r="N7691" s="12"/>
      <c r="S7691" s="12"/>
      <c r="X7691" s="12"/>
      <c r="AM7691" s="12"/>
    </row>
    <row r="7692" spans="9:39" x14ac:dyDescent="0.3">
      <c r="I7692" s="12"/>
      <c r="N7692" s="12"/>
      <c r="S7692" s="12"/>
      <c r="X7692" s="12"/>
      <c r="AM7692" s="12"/>
    </row>
    <row r="7693" spans="9:39" x14ac:dyDescent="0.3">
      <c r="I7693" s="12"/>
      <c r="N7693" s="12"/>
      <c r="S7693" s="12"/>
      <c r="X7693" s="12"/>
      <c r="AM7693" s="12"/>
    </row>
    <row r="7694" spans="9:39" x14ac:dyDescent="0.3">
      <c r="I7694" s="12"/>
      <c r="N7694" s="12"/>
      <c r="S7694" s="12"/>
      <c r="X7694" s="12"/>
      <c r="AM7694" s="12"/>
    </row>
    <row r="7695" spans="9:39" x14ac:dyDescent="0.3">
      <c r="I7695" s="12"/>
      <c r="N7695" s="12"/>
      <c r="S7695" s="12"/>
      <c r="X7695" s="12"/>
      <c r="AM7695" s="12"/>
    </row>
    <row r="7696" spans="9:39" x14ac:dyDescent="0.3">
      <c r="I7696" s="12"/>
      <c r="N7696" s="12"/>
      <c r="S7696" s="12"/>
      <c r="X7696" s="12"/>
      <c r="AM7696" s="12"/>
    </row>
    <row r="7697" spans="9:39" x14ac:dyDescent="0.3">
      <c r="I7697" s="12"/>
      <c r="N7697" s="12"/>
      <c r="S7697" s="12"/>
      <c r="X7697" s="12"/>
      <c r="AM7697" s="12"/>
    </row>
    <row r="7698" spans="9:39" x14ac:dyDescent="0.3">
      <c r="I7698" s="12"/>
      <c r="N7698" s="12"/>
      <c r="S7698" s="12"/>
      <c r="X7698" s="12"/>
      <c r="AM7698" s="12"/>
    </row>
    <row r="7699" spans="9:39" x14ac:dyDescent="0.3">
      <c r="I7699" s="12"/>
      <c r="N7699" s="12"/>
      <c r="S7699" s="12"/>
      <c r="X7699" s="12"/>
      <c r="AM7699" s="12"/>
    </row>
    <row r="7700" spans="9:39" x14ac:dyDescent="0.3">
      <c r="I7700" s="12"/>
      <c r="N7700" s="12"/>
      <c r="S7700" s="12"/>
      <c r="X7700" s="12"/>
      <c r="AM7700" s="12"/>
    </row>
    <row r="7701" spans="9:39" x14ac:dyDescent="0.3">
      <c r="I7701" s="12"/>
      <c r="N7701" s="12"/>
      <c r="S7701" s="12"/>
      <c r="X7701" s="12"/>
      <c r="AM7701" s="12"/>
    </row>
    <row r="7702" spans="9:39" x14ac:dyDescent="0.3">
      <c r="I7702" s="12"/>
      <c r="N7702" s="12"/>
      <c r="S7702" s="12"/>
      <c r="X7702" s="12"/>
      <c r="AM7702" s="12"/>
    </row>
    <row r="7703" spans="9:39" x14ac:dyDescent="0.3">
      <c r="I7703" s="12"/>
      <c r="N7703" s="12"/>
      <c r="S7703" s="12"/>
      <c r="X7703" s="12"/>
      <c r="AM7703" s="12"/>
    </row>
    <row r="7704" spans="9:39" x14ac:dyDescent="0.3">
      <c r="I7704" s="12"/>
      <c r="N7704" s="12"/>
      <c r="S7704" s="12"/>
      <c r="X7704" s="12"/>
      <c r="AM7704" s="12"/>
    </row>
    <row r="7705" spans="9:39" x14ac:dyDescent="0.3">
      <c r="I7705" s="12"/>
      <c r="N7705" s="12"/>
      <c r="S7705" s="12"/>
      <c r="X7705" s="12"/>
      <c r="AM7705" s="12"/>
    </row>
    <row r="7706" spans="9:39" x14ac:dyDescent="0.3">
      <c r="I7706" s="12"/>
      <c r="N7706" s="12"/>
      <c r="S7706" s="12"/>
      <c r="X7706" s="12"/>
      <c r="AM7706" s="12"/>
    </row>
    <row r="7707" spans="9:39" x14ac:dyDescent="0.3">
      <c r="I7707" s="12"/>
      <c r="N7707" s="12"/>
      <c r="S7707" s="12"/>
      <c r="X7707" s="12"/>
      <c r="AM7707" s="12"/>
    </row>
    <row r="7708" spans="9:39" x14ac:dyDescent="0.3">
      <c r="I7708" s="12"/>
      <c r="N7708" s="12"/>
      <c r="S7708" s="12"/>
      <c r="X7708" s="12"/>
      <c r="AM7708" s="12"/>
    </row>
    <row r="7709" spans="9:39" x14ac:dyDescent="0.3">
      <c r="I7709" s="12"/>
      <c r="N7709" s="12"/>
      <c r="S7709" s="12"/>
      <c r="X7709" s="12"/>
      <c r="AM7709" s="12"/>
    </row>
    <row r="7710" spans="9:39" x14ac:dyDescent="0.3">
      <c r="I7710" s="12"/>
      <c r="N7710" s="12"/>
      <c r="S7710" s="12"/>
      <c r="X7710" s="12"/>
      <c r="AM7710" s="12"/>
    </row>
    <row r="7711" spans="9:39" x14ac:dyDescent="0.3">
      <c r="I7711" s="12"/>
      <c r="N7711" s="12"/>
      <c r="S7711" s="12"/>
      <c r="X7711" s="12"/>
      <c r="AM7711" s="12"/>
    </row>
    <row r="7712" spans="9:39" x14ac:dyDescent="0.3">
      <c r="I7712" s="12"/>
      <c r="N7712" s="12"/>
      <c r="S7712" s="12"/>
      <c r="X7712" s="12"/>
      <c r="AM7712" s="12"/>
    </row>
    <row r="7713" spans="9:39" x14ac:dyDescent="0.3">
      <c r="I7713" s="12"/>
      <c r="N7713" s="12"/>
      <c r="S7713" s="12"/>
      <c r="X7713" s="12"/>
      <c r="AM7713" s="12"/>
    </row>
    <row r="7714" spans="9:39" x14ac:dyDescent="0.3">
      <c r="I7714" s="12"/>
      <c r="N7714" s="12"/>
      <c r="S7714" s="12"/>
      <c r="X7714" s="12"/>
      <c r="AM7714" s="12"/>
    </row>
    <row r="7715" spans="9:39" x14ac:dyDescent="0.3">
      <c r="I7715" s="12"/>
      <c r="N7715" s="12"/>
      <c r="S7715" s="12"/>
      <c r="X7715" s="12"/>
      <c r="AM7715" s="12"/>
    </row>
    <row r="7716" spans="9:39" x14ac:dyDescent="0.3">
      <c r="I7716" s="12"/>
      <c r="N7716" s="12"/>
      <c r="S7716" s="12"/>
      <c r="X7716" s="12"/>
      <c r="AM7716" s="12"/>
    </row>
    <row r="7717" spans="9:39" x14ac:dyDescent="0.3">
      <c r="I7717" s="12"/>
      <c r="N7717" s="12"/>
      <c r="S7717" s="12"/>
      <c r="X7717" s="12"/>
      <c r="AM7717" s="12"/>
    </row>
    <row r="7718" spans="9:39" x14ac:dyDescent="0.3">
      <c r="I7718" s="12"/>
      <c r="N7718" s="12"/>
      <c r="S7718" s="12"/>
      <c r="X7718" s="12"/>
      <c r="AM7718" s="12"/>
    </row>
    <row r="7719" spans="9:39" x14ac:dyDescent="0.3">
      <c r="I7719" s="12"/>
      <c r="N7719" s="12"/>
      <c r="S7719" s="12"/>
      <c r="X7719" s="12"/>
      <c r="AM7719" s="12"/>
    </row>
    <row r="7720" spans="9:39" x14ac:dyDescent="0.3">
      <c r="I7720" s="12"/>
      <c r="N7720" s="12"/>
      <c r="S7720" s="12"/>
      <c r="X7720" s="12"/>
      <c r="AM7720" s="12"/>
    </row>
    <row r="7721" spans="9:39" x14ac:dyDescent="0.3">
      <c r="I7721" s="12"/>
      <c r="N7721" s="12"/>
      <c r="S7721" s="12"/>
      <c r="X7721" s="12"/>
      <c r="AM7721" s="12"/>
    </row>
    <row r="7722" spans="9:39" x14ac:dyDescent="0.3">
      <c r="I7722" s="12"/>
      <c r="N7722" s="12"/>
      <c r="S7722" s="12"/>
      <c r="X7722" s="12"/>
      <c r="AM7722" s="12"/>
    </row>
    <row r="7723" spans="9:39" x14ac:dyDescent="0.3">
      <c r="I7723" s="12"/>
      <c r="N7723" s="12"/>
      <c r="S7723" s="12"/>
      <c r="X7723" s="12"/>
      <c r="AM7723" s="12"/>
    </row>
    <row r="7724" spans="9:39" x14ac:dyDescent="0.3">
      <c r="I7724" s="12"/>
      <c r="N7724" s="12"/>
      <c r="S7724" s="12"/>
      <c r="X7724" s="12"/>
      <c r="AM7724" s="12"/>
    </row>
    <row r="7725" spans="9:39" x14ac:dyDescent="0.3">
      <c r="I7725" s="12"/>
      <c r="N7725" s="12"/>
      <c r="S7725" s="12"/>
      <c r="X7725" s="12"/>
      <c r="AM7725" s="12"/>
    </row>
    <row r="7726" spans="9:39" x14ac:dyDescent="0.3">
      <c r="I7726" s="12"/>
      <c r="N7726" s="12"/>
      <c r="S7726" s="12"/>
      <c r="X7726" s="12"/>
      <c r="AM7726" s="12"/>
    </row>
    <row r="7727" spans="9:39" x14ac:dyDescent="0.3">
      <c r="I7727" s="12"/>
      <c r="N7727" s="12"/>
      <c r="S7727" s="12"/>
      <c r="X7727" s="12"/>
      <c r="AM7727" s="12"/>
    </row>
    <row r="7728" spans="9:39" x14ac:dyDescent="0.3">
      <c r="I7728" s="12"/>
      <c r="N7728" s="12"/>
      <c r="S7728" s="12"/>
      <c r="X7728" s="12"/>
      <c r="AM7728" s="12"/>
    </row>
    <row r="7729" spans="9:39" x14ac:dyDescent="0.3">
      <c r="I7729" s="12"/>
      <c r="N7729" s="12"/>
      <c r="S7729" s="12"/>
      <c r="X7729" s="12"/>
      <c r="AM7729" s="12"/>
    </row>
    <row r="7730" spans="9:39" x14ac:dyDescent="0.3">
      <c r="I7730" s="12"/>
      <c r="N7730" s="12"/>
      <c r="S7730" s="12"/>
      <c r="X7730" s="12"/>
      <c r="AM7730" s="12"/>
    </row>
    <row r="7731" spans="9:39" x14ac:dyDescent="0.3">
      <c r="I7731" s="12"/>
      <c r="N7731" s="12"/>
      <c r="S7731" s="12"/>
      <c r="X7731" s="12"/>
      <c r="AM7731" s="12"/>
    </row>
    <row r="7732" spans="9:39" x14ac:dyDescent="0.3">
      <c r="I7732" s="12"/>
      <c r="N7732" s="12"/>
      <c r="S7732" s="12"/>
      <c r="X7732" s="12"/>
      <c r="AM7732" s="12"/>
    </row>
    <row r="7733" spans="9:39" x14ac:dyDescent="0.3">
      <c r="I7733" s="12"/>
      <c r="N7733" s="12"/>
      <c r="S7733" s="12"/>
      <c r="X7733" s="12"/>
      <c r="AM7733" s="12"/>
    </row>
    <row r="7734" spans="9:39" x14ac:dyDescent="0.3">
      <c r="I7734" s="12"/>
      <c r="N7734" s="12"/>
      <c r="S7734" s="12"/>
      <c r="X7734" s="12"/>
      <c r="AM7734" s="12"/>
    </row>
    <row r="7735" spans="9:39" x14ac:dyDescent="0.3">
      <c r="I7735" s="12"/>
      <c r="N7735" s="12"/>
      <c r="S7735" s="12"/>
      <c r="X7735" s="12"/>
      <c r="AM7735" s="12"/>
    </row>
    <row r="7736" spans="9:39" x14ac:dyDescent="0.3">
      <c r="I7736" s="12"/>
      <c r="N7736" s="12"/>
      <c r="S7736" s="12"/>
      <c r="X7736" s="12"/>
      <c r="AM7736" s="12"/>
    </row>
    <row r="7737" spans="9:39" x14ac:dyDescent="0.3">
      <c r="I7737" s="12"/>
      <c r="N7737" s="12"/>
      <c r="S7737" s="12"/>
      <c r="X7737" s="12"/>
      <c r="AM7737" s="12"/>
    </row>
    <row r="7738" spans="9:39" x14ac:dyDescent="0.3">
      <c r="I7738" s="12"/>
      <c r="N7738" s="12"/>
      <c r="S7738" s="12"/>
      <c r="X7738" s="12"/>
      <c r="AM7738" s="12"/>
    </row>
    <row r="7739" spans="9:39" x14ac:dyDescent="0.3">
      <c r="I7739" s="12"/>
      <c r="N7739" s="12"/>
      <c r="S7739" s="12"/>
      <c r="X7739" s="12"/>
      <c r="AM7739" s="12"/>
    </row>
    <row r="7740" spans="9:39" x14ac:dyDescent="0.3">
      <c r="I7740" s="12"/>
      <c r="N7740" s="12"/>
      <c r="S7740" s="12"/>
      <c r="X7740" s="12"/>
      <c r="AM7740" s="12"/>
    </row>
    <row r="7741" spans="9:39" x14ac:dyDescent="0.3">
      <c r="I7741" s="12"/>
      <c r="N7741" s="12"/>
      <c r="S7741" s="12"/>
      <c r="X7741" s="12"/>
      <c r="AM7741" s="12"/>
    </row>
    <row r="7742" spans="9:39" x14ac:dyDescent="0.3">
      <c r="I7742" s="12"/>
      <c r="N7742" s="12"/>
      <c r="S7742" s="12"/>
      <c r="X7742" s="12"/>
      <c r="AM7742" s="12"/>
    </row>
    <row r="7743" spans="9:39" x14ac:dyDescent="0.3">
      <c r="I7743" s="12"/>
      <c r="N7743" s="12"/>
      <c r="S7743" s="12"/>
      <c r="X7743" s="12"/>
      <c r="AM7743" s="12"/>
    </row>
    <row r="7744" spans="9:39" x14ac:dyDescent="0.3">
      <c r="I7744" s="12"/>
      <c r="N7744" s="12"/>
      <c r="S7744" s="12"/>
      <c r="X7744" s="12"/>
      <c r="AM7744" s="12"/>
    </row>
    <row r="7745" spans="9:39" x14ac:dyDescent="0.3">
      <c r="I7745" s="12"/>
      <c r="N7745" s="12"/>
      <c r="S7745" s="12"/>
      <c r="X7745" s="12"/>
      <c r="AM7745" s="12"/>
    </row>
    <row r="7746" spans="9:39" x14ac:dyDescent="0.3">
      <c r="I7746" s="12"/>
      <c r="N7746" s="12"/>
      <c r="S7746" s="12"/>
      <c r="X7746" s="12"/>
      <c r="AM7746" s="12"/>
    </row>
    <row r="7747" spans="9:39" x14ac:dyDescent="0.3">
      <c r="I7747" s="12"/>
      <c r="N7747" s="12"/>
      <c r="S7747" s="12"/>
      <c r="X7747" s="12"/>
      <c r="AM7747" s="12"/>
    </row>
    <row r="7748" spans="9:39" x14ac:dyDescent="0.3">
      <c r="I7748" s="12"/>
      <c r="N7748" s="12"/>
      <c r="S7748" s="12"/>
      <c r="X7748" s="12"/>
      <c r="AM7748" s="12"/>
    </row>
    <row r="7749" spans="9:39" x14ac:dyDescent="0.3">
      <c r="I7749" s="12"/>
      <c r="N7749" s="12"/>
      <c r="S7749" s="12"/>
      <c r="X7749" s="12"/>
      <c r="AM7749" s="12"/>
    </row>
    <row r="7750" spans="9:39" x14ac:dyDescent="0.3">
      <c r="I7750" s="12"/>
      <c r="N7750" s="12"/>
      <c r="S7750" s="12"/>
      <c r="X7750" s="12"/>
      <c r="AM7750" s="12"/>
    </row>
    <row r="7751" spans="9:39" x14ac:dyDescent="0.3">
      <c r="I7751" s="12"/>
      <c r="N7751" s="12"/>
      <c r="S7751" s="12"/>
      <c r="X7751" s="12"/>
      <c r="AM7751" s="12"/>
    </row>
    <row r="7752" spans="9:39" x14ac:dyDescent="0.3">
      <c r="I7752" s="12"/>
      <c r="N7752" s="12"/>
      <c r="S7752" s="12"/>
      <c r="X7752" s="12"/>
      <c r="AM7752" s="12"/>
    </row>
    <row r="7753" spans="9:39" x14ac:dyDescent="0.3">
      <c r="I7753" s="12"/>
      <c r="N7753" s="12"/>
      <c r="S7753" s="12"/>
      <c r="X7753" s="12"/>
      <c r="AM7753" s="12"/>
    </row>
    <row r="7754" spans="9:39" x14ac:dyDescent="0.3">
      <c r="I7754" s="12"/>
      <c r="N7754" s="12"/>
      <c r="S7754" s="12"/>
      <c r="X7754" s="12"/>
      <c r="AM7754" s="12"/>
    </row>
    <row r="7755" spans="9:39" x14ac:dyDescent="0.3">
      <c r="I7755" s="12"/>
      <c r="N7755" s="12"/>
      <c r="S7755" s="12"/>
      <c r="X7755" s="12"/>
      <c r="AM7755" s="12"/>
    </row>
    <row r="7756" spans="9:39" x14ac:dyDescent="0.3">
      <c r="I7756" s="12"/>
      <c r="N7756" s="12"/>
      <c r="S7756" s="12"/>
      <c r="X7756" s="12"/>
      <c r="AM7756" s="12"/>
    </row>
    <row r="7757" spans="9:39" x14ac:dyDescent="0.3">
      <c r="I7757" s="12"/>
      <c r="N7757" s="12"/>
      <c r="S7757" s="12"/>
      <c r="X7757" s="12"/>
      <c r="AM7757" s="12"/>
    </row>
    <row r="7758" spans="9:39" x14ac:dyDescent="0.3">
      <c r="I7758" s="12"/>
      <c r="N7758" s="12"/>
      <c r="S7758" s="12"/>
      <c r="X7758" s="12"/>
      <c r="AM7758" s="12"/>
    </row>
    <row r="7759" spans="9:39" x14ac:dyDescent="0.3">
      <c r="I7759" s="12"/>
      <c r="N7759" s="12"/>
      <c r="S7759" s="12"/>
      <c r="X7759" s="12"/>
      <c r="AM7759" s="12"/>
    </row>
    <row r="7760" spans="9:39" x14ac:dyDescent="0.3">
      <c r="I7760" s="12"/>
      <c r="N7760" s="12"/>
      <c r="S7760" s="12"/>
      <c r="X7760" s="12"/>
      <c r="AM7760" s="12"/>
    </row>
    <row r="7761" spans="9:39" x14ac:dyDescent="0.3">
      <c r="I7761" s="12"/>
      <c r="N7761" s="12"/>
      <c r="S7761" s="12"/>
      <c r="X7761" s="12"/>
      <c r="AM7761" s="12"/>
    </row>
    <row r="7762" spans="9:39" x14ac:dyDescent="0.3">
      <c r="I7762" s="12"/>
      <c r="N7762" s="12"/>
      <c r="S7762" s="12"/>
      <c r="X7762" s="12"/>
      <c r="AM7762" s="12"/>
    </row>
    <row r="7763" spans="9:39" x14ac:dyDescent="0.3">
      <c r="I7763" s="12"/>
      <c r="N7763" s="12"/>
      <c r="S7763" s="12"/>
      <c r="X7763" s="12"/>
      <c r="AM7763" s="12"/>
    </row>
    <row r="7764" spans="9:39" x14ac:dyDescent="0.3">
      <c r="I7764" s="12"/>
      <c r="N7764" s="12"/>
      <c r="S7764" s="12"/>
      <c r="X7764" s="12"/>
      <c r="AM7764" s="12"/>
    </row>
    <row r="7765" spans="9:39" x14ac:dyDescent="0.3">
      <c r="I7765" s="12"/>
      <c r="N7765" s="12"/>
      <c r="S7765" s="12"/>
      <c r="X7765" s="12"/>
      <c r="AM7765" s="12"/>
    </row>
    <row r="7766" spans="9:39" x14ac:dyDescent="0.3">
      <c r="I7766" s="12"/>
      <c r="N7766" s="12"/>
      <c r="S7766" s="12"/>
      <c r="X7766" s="12"/>
      <c r="AM7766" s="12"/>
    </row>
    <row r="7767" spans="9:39" x14ac:dyDescent="0.3">
      <c r="I7767" s="12"/>
      <c r="N7767" s="12"/>
      <c r="S7767" s="12"/>
      <c r="X7767" s="12"/>
      <c r="AM7767" s="12"/>
    </row>
    <row r="7768" spans="9:39" x14ac:dyDescent="0.3">
      <c r="I7768" s="12"/>
      <c r="N7768" s="12"/>
      <c r="S7768" s="12"/>
      <c r="X7768" s="12"/>
      <c r="AM7768" s="12"/>
    </row>
    <row r="7769" spans="9:39" x14ac:dyDescent="0.3">
      <c r="I7769" s="12"/>
      <c r="N7769" s="12"/>
      <c r="S7769" s="12"/>
      <c r="X7769" s="12"/>
      <c r="AM7769" s="12"/>
    </row>
    <row r="7770" spans="9:39" x14ac:dyDescent="0.3">
      <c r="I7770" s="12"/>
      <c r="N7770" s="12"/>
      <c r="S7770" s="12"/>
      <c r="X7770" s="12"/>
      <c r="AM7770" s="12"/>
    </row>
    <row r="7771" spans="9:39" x14ac:dyDescent="0.3">
      <c r="I7771" s="12"/>
      <c r="N7771" s="12"/>
      <c r="S7771" s="12"/>
      <c r="X7771" s="12"/>
      <c r="AM7771" s="12"/>
    </row>
    <row r="7772" spans="9:39" x14ac:dyDescent="0.3">
      <c r="I7772" s="12"/>
      <c r="N7772" s="12"/>
      <c r="S7772" s="12"/>
      <c r="X7772" s="12"/>
      <c r="AM7772" s="12"/>
    </row>
    <row r="7773" spans="9:39" x14ac:dyDescent="0.3">
      <c r="I7773" s="12"/>
      <c r="N7773" s="12"/>
      <c r="S7773" s="12"/>
      <c r="X7773" s="12"/>
      <c r="AM7773" s="12"/>
    </row>
    <row r="7774" spans="9:39" x14ac:dyDescent="0.3">
      <c r="I7774" s="12"/>
      <c r="N7774" s="12"/>
      <c r="S7774" s="12"/>
      <c r="X7774" s="12"/>
      <c r="AM7774" s="12"/>
    </row>
    <row r="7775" spans="9:39" x14ac:dyDescent="0.3">
      <c r="I7775" s="12"/>
      <c r="N7775" s="12"/>
      <c r="S7775" s="12"/>
      <c r="X7775" s="12"/>
      <c r="AM7775" s="12"/>
    </row>
    <row r="7776" spans="9:39" x14ac:dyDescent="0.3">
      <c r="I7776" s="12"/>
      <c r="N7776" s="12"/>
      <c r="S7776" s="12"/>
      <c r="X7776" s="12"/>
      <c r="AM7776" s="12"/>
    </row>
    <row r="7777" spans="9:39" x14ac:dyDescent="0.3">
      <c r="I7777" s="12"/>
      <c r="N7777" s="12"/>
      <c r="S7777" s="12"/>
      <c r="X7777" s="12"/>
      <c r="AM7777" s="12"/>
    </row>
    <row r="7778" spans="9:39" x14ac:dyDescent="0.3">
      <c r="I7778" s="12"/>
      <c r="N7778" s="12"/>
      <c r="S7778" s="12"/>
      <c r="X7778" s="12"/>
      <c r="AM7778" s="12"/>
    </row>
    <row r="7779" spans="9:39" x14ac:dyDescent="0.3">
      <c r="I7779" s="12"/>
      <c r="N7779" s="12"/>
      <c r="S7779" s="12"/>
      <c r="X7779" s="12"/>
      <c r="AM7779" s="12"/>
    </row>
    <row r="7780" spans="9:39" x14ac:dyDescent="0.3">
      <c r="I7780" s="12"/>
      <c r="N7780" s="12"/>
      <c r="S7780" s="12"/>
      <c r="X7780" s="12"/>
      <c r="AM7780" s="12"/>
    </row>
    <row r="7781" spans="9:39" x14ac:dyDescent="0.3">
      <c r="I7781" s="12"/>
      <c r="N7781" s="12"/>
      <c r="S7781" s="12"/>
      <c r="X7781" s="12"/>
      <c r="AM7781" s="12"/>
    </row>
    <row r="7782" spans="9:39" x14ac:dyDescent="0.3">
      <c r="I7782" s="12"/>
      <c r="N7782" s="12"/>
      <c r="S7782" s="12"/>
      <c r="X7782" s="12"/>
      <c r="AM7782" s="12"/>
    </row>
    <row r="7783" spans="9:39" x14ac:dyDescent="0.3">
      <c r="I7783" s="12"/>
      <c r="N7783" s="12"/>
      <c r="S7783" s="12"/>
      <c r="X7783" s="12"/>
      <c r="AM7783" s="12"/>
    </row>
    <row r="7784" spans="9:39" x14ac:dyDescent="0.3">
      <c r="I7784" s="12"/>
      <c r="N7784" s="12"/>
      <c r="S7784" s="12"/>
      <c r="X7784" s="12"/>
      <c r="AM7784" s="12"/>
    </row>
    <row r="7785" spans="9:39" x14ac:dyDescent="0.3">
      <c r="I7785" s="12"/>
      <c r="N7785" s="12"/>
      <c r="S7785" s="12"/>
      <c r="X7785" s="12"/>
      <c r="AM7785" s="12"/>
    </row>
    <row r="7786" spans="9:39" x14ac:dyDescent="0.3">
      <c r="I7786" s="12"/>
      <c r="N7786" s="12"/>
      <c r="S7786" s="12"/>
      <c r="X7786" s="12"/>
      <c r="AM7786" s="12"/>
    </row>
    <row r="7787" spans="9:39" x14ac:dyDescent="0.3">
      <c r="I7787" s="12"/>
      <c r="N7787" s="12"/>
      <c r="S7787" s="12"/>
      <c r="X7787" s="12"/>
      <c r="AM7787" s="12"/>
    </row>
    <row r="7788" spans="9:39" x14ac:dyDescent="0.3">
      <c r="I7788" s="12"/>
      <c r="N7788" s="12"/>
      <c r="S7788" s="12"/>
      <c r="X7788" s="12"/>
      <c r="AM7788" s="12"/>
    </row>
    <row r="7789" spans="9:39" x14ac:dyDescent="0.3">
      <c r="I7789" s="12"/>
      <c r="N7789" s="12"/>
      <c r="S7789" s="12"/>
      <c r="X7789" s="12"/>
      <c r="AM7789" s="12"/>
    </row>
    <row r="7790" spans="9:39" x14ac:dyDescent="0.3">
      <c r="I7790" s="12"/>
      <c r="N7790" s="12"/>
      <c r="S7790" s="12"/>
      <c r="X7790" s="12"/>
      <c r="AM7790" s="12"/>
    </row>
    <row r="7791" spans="9:39" x14ac:dyDescent="0.3">
      <c r="I7791" s="12"/>
      <c r="N7791" s="12"/>
      <c r="S7791" s="12"/>
      <c r="X7791" s="12"/>
      <c r="AM7791" s="12"/>
    </row>
    <row r="7792" spans="9:39" x14ac:dyDescent="0.3">
      <c r="I7792" s="12"/>
      <c r="N7792" s="12"/>
      <c r="S7792" s="12"/>
      <c r="X7792" s="12"/>
      <c r="AM7792" s="12"/>
    </row>
    <row r="7793" spans="9:39" x14ac:dyDescent="0.3">
      <c r="I7793" s="12"/>
      <c r="N7793" s="12"/>
      <c r="S7793" s="12"/>
      <c r="X7793" s="12"/>
      <c r="AM7793" s="12"/>
    </row>
    <row r="7794" spans="9:39" x14ac:dyDescent="0.3">
      <c r="I7794" s="12"/>
      <c r="N7794" s="12"/>
      <c r="S7794" s="12"/>
      <c r="X7794" s="12"/>
      <c r="AM7794" s="12"/>
    </row>
    <row r="7795" spans="9:39" x14ac:dyDescent="0.3">
      <c r="I7795" s="12"/>
      <c r="N7795" s="12"/>
      <c r="S7795" s="12"/>
      <c r="X7795" s="12"/>
      <c r="AM7795" s="12"/>
    </row>
    <row r="7796" spans="9:39" x14ac:dyDescent="0.3">
      <c r="I7796" s="12"/>
      <c r="N7796" s="12"/>
      <c r="S7796" s="12"/>
      <c r="X7796" s="12"/>
      <c r="AM7796" s="12"/>
    </row>
    <row r="7797" spans="9:39" x14ac:dyDescent="0.3">
      <c r="I7797" s="12"/>
      <c r="N7797" s="12"/>
      <c r="S7797" s="12"/>
      <c r="X7797" s="12"/>
      <c r="AM7797" s="12"/>
    </row>
    <row r="7798" spans="9:39" x14ac:dyDescent="0.3">
      <c r="I7798" s="12"/>
      <c r="N7798" s="12"/>
      <c r="S7798" s="12"/>
      <c r="X7798" s="12"/>
      <c r="AM7798" s="12"/>
    </row>
    <row r="7799" spans="9:39" x14ac:dyDescent="0.3">
      <c r="I7799" s="12"/>
      <c r="N7799" s="12"/>
      <c r="S7799" s="12"/>
      <c r="X7799" s="12"/>
      <c r="AM7799" s="12"/>
    </row>
    <row r="7800" spans="9:39" x14ac:dyDescent="0.3">
      <c r="I7800" s="12"/>
      <c r="N7800" s="12"/>
      <c r="S7800" s="12"/>
      <c r="X7800" s="12"/>
      <c r="AM7800" s="12"/>
    </row>
    <row r="7801" spans="9:39" x14ac:dyDescent="0.3">
      <c r="I7801" s="12"/>
      <c r="N7801" s="12"/>
      <c r="S7801" s="12"/>
      <c r="X7801" s="12"/>
      <c r="AM7801" s="12"/>
    </row>
    <row r="7802" spans="9:39" x14ac:dyDescent="0.3">
      <c r="I7802" s="12"/>
      <c r="N7802" s="12"/>
      <c r="S7802" s="12"/>
      <c r="X7802" s="12"/>
      <c r="AM7802" s="12"/>
    </row>
    <row r="7803" spans="9:39" x14ac:dyDescent="0.3">
      <c r="I7803" s="12"/>
      <c r="N7803" s="12"/>
      <c r="S7803" s="12"/>
      <c r="X7803" s="12"/>
      <c r="AM7803" s="12"/>
    </row>
    <row r="7804" spans="9:39" x14ac:dyDescent="0.3">
      <c r="I7804" s="12"/>
      <c r="N7804" s="12"/>
      <c r="S7804" s="12"/>
      <c r="X7804" s="12"/>
      <c r="AM7804" s="12"/>
    </row>
    <row r="7805" spans="9:39" x14ac:dyDescent="0.3">
      <c r="I7805" s="12"/>
      <c r="N7805" s="12"/>
      <c r="S7805" s="12"/>
      <c r="X7805" s="12"/>
      <c r="AM7805" s="12"/>
    </row>
    <row r="7806" spans="9:39" x14ac:dyDescent="0.3">
      <c r="I7806" s="12"/>
      <c r="N7806" s="12"/>
      <c r="S7806" s="12"/>
      <c r="X7806" s="12"/>
      <c r="AM7806" s="12"/>
    </row>
    <row r="7807" spans="9:39" x14ac:dyDescent="0.3">
      <c r="I7807" s="12"/>
      <c r="N7807" s="12"/>
      <c r="S7807" s="12"/>
      <c r="X7807" s="12"/>
      <c r="AM7807" s="12"/>
    </row>
    <row r="7808" spans="9:39" x14ac:dyDescent="0.3">
      <c r="I7808" s="12"/>
      <c r="N7808" s="12"/>
      <c r="S7808" s="12"/>
      <c r="X7808" s="12"/>
      <c r="AM7808" s="12"/>
    </row>
    <row r="7809" spans="9:39" x14ac:dyDescent="0.3">
      <c r="I7809" s="12"/>
      <c r="N7809" s="12"/>
      <c r="S7809" s="12"/>
      <c r="X7809" s="12"/>
      <c r="AM7809" s="12"/>
    </row>
    <row r="7810" spans="9:39" x14ac:dyDescent="0.3">
      <c r="I7810" s="12"/>
      <c r="N7810" s="12"/>
      <c r="S7810" s="12"/>
      <c r="X7810" s="12"/>
      <c r="AM7810" s="12"/>
    </row>
    <row r="7811" spans="9:39" x14ac:dyDescent="0.3">
      <c r="I7811" s="12"/>
      <c r="N7811" s="12"/>
      <c r="S7811" s="12"/>
      <c r="X7811" s="12"/>
      <c r="AM7811" s="12"/>
    </row>
    <row r="7812" spans="9:39" x14ac:dyDescent="0.3">
      <c r="I7812" s="12"/>
      <c r="N7812" s="12"/>
      <c r="S7812" s="12"/>
      <c r="X7812" s="12"/>
      <c r="AM7812" s="12"/>
    </row>
    <row r="7813" spans="9:39" x14ac:dyDescent="0.3">
      <c r="I7813" s="12"/>
      <c r="N7813" s="12"/>
      <c r="S7813" s="12"/>
      <c r="X7813" s="12"/>
      <c r="AM7813" s="12"/>
    </row>
    <row r="7814" spans="9:39" x14ac:dyDescent="0.3">
      <c r="I7814" s="12"/>
      <c r="N7814" s="12"/>
      <c r="S7814" s="12"/>
      <c r="X7814" s="12"/>
      <c r="AM7814" s="12"/>
    </row>
    <row r="7815" spans="9:39" x14ac:dyDescent="0.3">
      <c r="I7815" s="12"/>
      <c r="N7815" s="12"/>
      <c r="S7815" s="12"/>
      <c r="X7815" s="12"/>
      <c r="AM7815" s="12"/>
    </row>
    <row r="7816" spans="9:39" x14ac:dyDescent="0.3">
      <c r="I7816" s="12"/>
      <c r="N7816" s="12"/>
      <c r="S7816" s="12"/>
      <c r="X7816" s="12"/>
      <c r="AM7816" s="12"/>
    </row>
    <row r="7817" spans="9:39" x14ac:dyDescent="0.3">
      <c r="I7817" s="12"/>
      <c r="N7817" s="12"/>
      <c r="S7817" s="12"/>
      <c r="X7817" s="12"/>
      <c r="AM7817" s="12"/>
    </row>
    <row r="7818" spans="9:39" x14ac:dyDescent="0.3">
      <c r="I7818" s="12"/>
      <c r="N7818" s="12"/>
      <c r="S7818" s="12"/>
      <c r="X7818" s="12"/>
      <c r="AM7818" s="12"/>
    </row>
    <row r="7819" spans="9:39" x14ac:dyDescent="0.3">
      <c r="I7819" s="12"/>
      <c r="N7819" s="12"/>
      <c r="S7819" s="12"/>
      <c r="X7819" s="12"/>
      <c r="AM7819" s="12"/>
    </row>
    <row r="7820" spans="9:39" x14ac:dyDescent="0.3">
      <c r="I7820" s="12"/>
      <c r="N7820" s="12"/>
      <c r="S7820" s="12"/>
      <c r="X7820" s="12"/>
      <c r="AM7820" s="12"/>
    </row>
    <row r="7821" spans="9:39" x14ac:dyDescent="0.3">
      <c r="I7821" s="12"/>
      <c r="N7821" s="12"/>
      <c r="S7821" s="12"/>
      <c r="X7821" s="12"/>
      <c r="AM7821" s="12"/>
    </row>
    <row r="7822" spans="9:39" x14ac:dyDescent="0.3">
      <c r="I7822" s="12"/>
      <c r="N7822" s="12"/>
      <c r="S7822" s="12"/>
      <c r="X7822" s="12"/>
      <c r="AM7822" s="12"/>
    </row>
    <row r="7823" spans="9:39" x14ac:dyDescent="0.3">
      <c r="I7823" s="12"/>
      <c r="N7823" s="12"/>
      <c r="S7823" s="12"/>
      <c r="X7823" s="12"/>
      <c r="AM7823" s="12"/>
    </row>
    <row r="7824" spans="9:39" x14ac:dyDescent="0.3">
      <c r="I7824" s="12"/>
      <c r="N7824" s="12"/>
      <c r="S7824" s="12"/>
      <c r="X7824" s="12"/>
      <c r="AM7824" s="12"/>
    </row>
    <row r="7825" spans="9:39" x14ac:dyDescent="0.3">
      <c r="I7825" s="12"/>
      <c r="N7825" s="12"/>
      <c r="S7825" s="12"/>
      <c r="X7825" s="12"/>
      <c r="AM7825" s="12"/>
    </row>
    <row r="7826" spans="9:39" x14ac:dyDescent="0.3">
      <c r="I7826" s="12"/>
      <c r="N7826" s="12"/>
      <c r="S7826" s="12"/>
      <c r="X7826" s="12"/>
      <c r="AM7826" s="12"/>
    </row>
    <row r="7827" spans="9:39" x14ac:dyDescent="0.3">
      <c r="I7827" s="12"/>
      <c r="N7827" s="12"/>
      <c r="S7827" s="12"/>
      <c r="X7827" s="12"/>
      <c r="AM7827" s="12"/>
    </row>
    <row r="7828" spans="9:39" x14ac:dyDescent="0.3">
      <c r="I7828" s="12"/>
      <c r="N7828" s="12"/>
      <c r="S7828" s="12"/>
      <c r="X7828" s="12"/>
      <c r="AM7828" s="12"/>
    </row>
    <row r="7829" spans="9:39" x14ac:dyDescent="0.3">
      <c r="I7829" s="12"/>
      <c r="N7829" s="12"/>
      <c r="S7829" s="12"/>
      <c r="X7829" s="12"/>
      <c r="AM7829" s="12"/>
    </row>
    <row r="7830" spans="9:39" x14ac:dyDescent="0.3">
      <c r="I7830" s="12"/>
      <c r="N7830" s="12"/>
      <c r="S7830" s="12"/>
      <c r="X7830" s="12"/>
      <c r="AM7830" s="12"/>
    </row>
    <row r="7831" spans="9:39" x14ac:dyDescent="0.3">
      <c r="I7831" s="12"/>
      <c r="N7831" s="12"/>
      <c r="S7831" s="12"/>
      <c r="X7831" s="12"/>
      <c r="AM7831" s="12"/>
    </row>
    <row r="7832" spans="9:39" x14ac:dyDescent="0.3">
      <c r="I7832" s="12"/>
      <c r="N7832" s="12"/>
      <c r="S7832" s="12"/>
      <c r="X7832" s="12"/>
      <c r="AM7832" s="12"/>
    </row>
    <row r="7833" spans="9:39" x14ac:dyDescent="0.3">
      <c r="I7833" s="12"/>
      <c r="N7833" s="12"/>
      <c r="S7833" s="12"/>
      <c r="X7833" s="12"/>
      <c r="AM7833" s="12"/>
    </row>
    <row r="7834" spans="9:39" x14ac:dyDescent="0.3">
      <c r="I7834" s="12"/>
      <c r="N7834" s="12"/>
      <c r="S7834" s="12"/>
      <c r="X7834" s="12"/>
      <c r="AM7834" s="12"/>
    </row>
    <row r="7835" spans="9:39" x14ac:dyDescent="0.3">
      <c r="I7835" s="12"/>
      <c r="N7835" s="12"/>
      <c r="S7835" s="12"/>
      <c r="X7835" s="12"/>
      <c r="AM7835" s="12"/>
    </row>
    <row r="7836" spans="9:39" x14ac:dyDescent="0.3">
      <c r="I7836" s="12"/>
      <c r="N7836" s="12"/>
      <c r="S7836" s="12"/>
      <c r="X7836" s="12"/>
      <c r="AM7836" s="12"/>
    </row>
    <row r="7837" spans="9:39" x14ac:dyDescent="0.3">
      <c r="I7837" s="12"/>
      <c r="N7837" s="12"/>
      <c r="S7837" s="12"/>
      <c r="X7837" s="12"/>
      <c r="AM7837" s="12"/>
    </row>
    <row r="7838" spans="9:39" x14ac:dyDescent="0.3">
      <c r="I7838" s="12"/>
      <c r="N7838" s="12"/>
      <c r="S7838" s="12"/>
      <c r="X7838" s="12"/>
      <c r="AM7838" s="12"/>
    </row>
    <row r="7839" spans="9:39" x14ac:dyDescent="0.3">
      <c r="I7839" s="12"/>
      <c r="N7839" s="12"/>
      <c r="S7839" s="12"/>
      <c r="X7839" s="12"/>
      <c r="AM7839" s="12"/>
    </row>
    <row r="7840" spans="9:39" x14ac:dyDescent="0.3">
      <c r="I7840" s="12"/>
      <c r="N7840" s="12"/>
      <c r="S7840" s="12"/>
      <c r="X7840" s="12"/>
      <c r="AM7840" s="12"/>
    </row>
    <row r="7841" spans="9:39" x14ac:dyDescent="0.3">
      <c r="I7841" s="12"/>
      <c r="N7841" s="12"/>
      <c r="S7841" s="12"/>
      <c r="X7841" s="12"/>
      <c r="AM7841" s="12"/>
    </row>
    <row r="7842" spans="9:39" x14ac:dyDescent="0.3">
      <c r="I7842" s="12"/>
      <c r="N7842" s="12"/>
      <c r="S7842" s="12"/>
      <c r="X7842" s="12"/>
      <c r="AM7842" s="12"/>
    </row>
    <row r="7843" spans="9:39" x14ac:dyDescent="0.3">
      <c r="I7843" s="12"/>
      <c r="N7843" s="12"/>
      <c r="S7843" s="12"/>
      <c r="X7843" s="12"/>
      <c r="AM7843" s="12"/>
    </row>
    <row r="7844" spans="9:39" x14ac:dyDescent="0.3">
      <c r="I7844" s="12"/>
      <c r="N7844" s="12"/>
      <c r="S7844" s="12"/>
      <c r="X7844" s="12"/>
      <c r="AM7844" s="12"/>
    </row>
    <row r="7845" spans="9:39" x14ac:dyDescent="0.3">
      <c r="I7845" s="12"/>
      <c r="N7845" s="12"/>
      <c r="S7845" s="12"/>
      <c r="X7845" s="12"/>
      <c r="AM7845" s="12"/>
    </row>
    <row r="7846" spans="9:39" x14ac:dyDescent="0.3">
      <c r="I7846" s="12"/>
      <c r="N7846" s="12"/>
      <c r="S7846" s="12"/>
      <c r="X7846" s="12"/>
      <c r="AM7846" s="12"/>
    </row>
    <row r="7847" spans="9:39" x14ac:dyDescent="0.3">
      <c r="I7847" s="12"/>
      <c r="N7847" s="12"/>
      <c r="S7847" s="12"/>
      <c r="X7847" s="12"/>
      <c r="AM7847" s="12"/>
    </row>
    <row r="7848" spans="9:39" x14ac:dyDescent="0.3">
      <c r="I7848" s="12"/>
      <c r="N7848" s="12"/>
      <c r="S7848" s="12"/>
      <c r="X7848" s="12"/>
      <c r="AM7848" s="12"/>
    </row>
    <row r="7849" spans="9:39" x14ac:dyDescent="0.3">
      <c r="I7849" s="12"/>
      <c r="N7849" s="12"/>
      <c r="S7849" s="12"/>
      <c r="X7849" s="12"/>
      <c r="AM7849" s="12"/>
    </row>
    <row r="7850" spans="9:39" x14ac:dyDescent="0.3">
      <c r="I7850" s="12"/>
      <c r="N7850" s="12"/>
      <c r="S7850" s="12"/>
      <c r="X7850" s="12"/>
      <c r="AM7850" s="12"/>
    </row>
    <row r="7851" spans="9:39" x14ac:dyDescent="0.3">
      <c r="I7851" s="12"/>
      <c r="N7851" s="12"/>
      <c r="S7851" s="12"/>
      <c r="X7851" s="12"/>
      <c r="AM7851" s="12"/>
    </row>
    <row r="7852" spans="9:39" x14ac:dyDescent="0.3">
      <c r="I7852" s="12"/>
      <c r="N7852" s="12"/>
      <c r="S7852" s="12"/>
      <c r="X7852" s="12"/>
      <c r="AM7852" s="12"/>
    </row>
    <row r="7853" spans="9:39" x14ac:dyDescent="0.3">
      <c r="I7853" s="12"/>
      <c r="N7853" s="12"/>
      <c r="S7853" s="12"/>
      <c r="X7853" s="12"/>
      <c r="AM7853" s="12"/>
    </row>
    <row r="7854" spans="9:39" x14ac:dyDescent="0.3">
      <c r="I7854" s="12"/>
      <c r="N7854" s="12"/>
      <c r="S7854" s="12"/>
      <c r="X7854" s="12"/>
      <c r="AM7854" s="12"/>
    </row>
    <row r="7855" spans="9:39" x14ac:dyDescent="0.3">
      <c r="I7855" s="12"/>
      <c r="N7855" s="12"/>
      <c r="S7855" s="12"/>
      <c r="X7855" s="12"/>
      <c r="AM7855" s="12"/>
    </row>
    <row r="7856" spans="9:39" x14ac:dyDescent="0.3">
      <c r="I7856" s="12"/>
      <c r="N7856" s="12"/>
      <c r="S7856" s="12"/>
      <c r="X7856" s="12"/>
      <c r="AM7856" s="12"/>
    </row>
    <row r="7857" spans="9:39" x14ac:dyDescent="0.3">
      <c r="I7857" s="12"/>
      <c r="N7857" s="12"/>
      <c r="S7857" s="12"/>
      <c r="X7857" s="12"/>
      <c r="AM7857" s="12"/>
    </row>
    <row r="7858" spans="9:39" x14ac:dyDescent="0.3">
      <c r="I7858" s="12"/>
      <c r="N7858" s="12"/>
      <c r="S7858" s="12"/>
      <c r="X7858" s="12"/>
      <c r="AM7858" s="12"/>
    </row>
    <row r="7859" spans="9:39" x14ac:dyDescent="0.3">
      <c r="I7859" s="12"/>
      <c r="N7859" s="12"/>
      <c r="S7859" s="12"/>
      <c r="X7859" s="12"/>
      <c r="AM7859" s="12"/>
    </row>
    <row r="7860" spans="9:39" x14ac:dyDescent="0.3">
      <c r="I7860" s="12"/>
      <c r="N7860" s="12"/>
      <c r="S7860" s="12"/>
      <c r="X7860" s="12"/>
      <c r="AM7860" s="12"/>
    </row>
    <row r="7861" spans="9:39" x14ac:dyDescent="0.3">
      <c r="I7861" s="12"/>
      <c r="N7861" s="12"/>
      <c r="S7861" s="12"/>
      <c r="X7861" s="12"/>
      <c r="AM7861" s="12"/>
    </row>
    <row r="7862" spans="9:39" x14ac:dyDescent="0.3">
      <c r="I7862" s="12"/>
      <c r="N7862" s="12"/>
      <c r="S7862" s="12"/>
      <c r="X7862" s="12"/>
      <c r="AM7862" s="12"/>
    </row>
    <row r="7863" spans="9:39" x14ac:dyDescent="0.3">
      <c r="I7863" s="12"/>
      <c r="N7863" s="12"/>
      <c r="S7863" s="12"/>
      <c r="X7863" s="12"/>
      <c r="AM7863" s="12"/>
    </row>
    <row r="7864" spans="9:39" x14ac:dyDescent="0.3">
      <c r="I7864" s="12"/>
      <c r="N7864" s="12"/>
      <c r="S7864" s="12"/>
      <c r="X7864" s="12"/>
      <c r="AM7864" s="12"/>
    </row>
    <row r="7865" spans="9:39" x14ac:dyDescent="0.3">
      <c r="I7865" s="12"/>
      <c r="N7865" s="12"/>
      <c r="S7865" s="12"/>
      <c r="X7865" s="12"/>
      <c r="AM7865" s="12"/>
    </row>
    <row r="7866" spans="9:39" x14ac:dyDescent="0.3">
      <c r="I7866" s="12"/>
      <c r="N7866" s="12"/>
      <c r="S7866" s="12"/>
      <c r="X7866" s="12"/>
      <c r="AM7866" s="12"/>
    </row>
    <row r="7867" spans="9:39" x14ac:dyDescent="0.3">
      <c r="I7867" s="12"/>
      <c r="N7867" s="12"/>
      <c r="S7867" s="12"/>
      <c r="X7867" s="12"/>
      <c r="AM7867" s="12"/>
    </row>
    <row r="7868" spans="9:39" x14ac:dyDescent="0.3">
      <c r="I7868" s="12"/>
      <c r="N7868" s="12"/>
      <c r="S7868" s="12"/>
      <c r="X7868" s="12"/>
      <c r="AM7868" s="12"/>
    </row>
    <row r="7869" spans="9:39" x14ac:dyDescent="0.3">
      <c r="I7869" s="12"/>
      <c r="N7869" s="12"/>
      <c r="S7869" s="12"/>
      <c r="X7869" s="12"/>
      <c r="AM7869" s="12"/>
    </row>
    <row r="7870" spans="9:39" x14ac:dyDescent="0.3">
      <c r="I7870" s="12"/>
      <c r="N7870" s="12"/>
      <c r="S7870" s="12"/>
      <c r="X7870" s="12"/>
      <c r="AM7870" s="12"/>
    </row>
    <row r="7871" spans="9:39" x14ac:dyDescent="0.3">
      <c r="I7871" s="12"/>
      <c r="N7871" s="12"/>
      <c r="S7871" s="12"/>
      <c r="X7871" s="12"/>
      <c r="AM7871" s="12"/>
    </row>
    <row r="7872" spans="9:39" x14ac:dyDescent="0.3">
      <c r="I7872" s="12"/>
      <c r="N7872" s="12"/>
      <c r="S7872" s="12"/>
      <c r="X7872" s="12"/>
      <c r="AM7872" s="12"/>
    </row>
    <row r="7873" spans="9:39" x14ac:dyDescent="0.3">
      <c r="I7873" s="12"/>
      <c r="N7873" s="12"/>
      <c r="S7873" s="12"/>
      <c r="X7873" s="12"/>
      <c r="AM7873" s="12"/>
    </row>
    <row r="7874" spans="9:39" x14ac:dyDescent="0.3">
      <c r="I7874" s="12"/>
      <c r="N7874" s="12"/>
      <c r="S7874" s="12"/>
      <c r="X7874" s="12"/>
      <c r="AM7874" s="12"/>
    </row>
    <row r="7875" spans="9:39" x14ac:dyDescent="0.3">
      <c r="I7875" s="12"/>
      <c r="N7875" s="12"/>
      <c r="S7875" s="12"/>
      <c r="X7875" s="12"/>
      <c r="AM7875" s="12"/>
    </row>
    <row r="7876" spans="9:39" x14ac:dyDescent="0.3">
      <c r="I7876" s="12"/>
      <c r="N7876" s="12"/>
      <c r="S7876" s="12"/>
      <c r="X7876" s="12"/>
      <c r="AM7876" s="12"/>
    </row>
    <row r="7877" spans="9:39" x14ac:dyDescent="0.3">
      <c r="I7877" s="12"/>
      <c r="N7877" s="12"/>
      <c r="S7877" s="12"/>
      <c r="X7877" s="12"/>
      <c r="AM7877" s="12"/>
    </row>
    <row r="7878" spans="9:39" x14ac:dyDescent="0.3">
      <c r="I7878" s="12"/>
      <c r="N7878" s="12"/>
      <c r="S7878" s="12"/>
      <c r="X7878" s="12"/>
      <c r="AM7878" s="12"/>
    </row>
    <row r="7879" spans="9:39" x14ac:dyDescent="0.3">
      <c r="I7879" s="12"/>
      <c r="N7879" s="12"/>
      <c r="S7879" s="12"/>
      <c r="X7879" s="12"/>
      <c r="AM7879" s="12"/>
    </row>
    <row r="7880" spans="9:39" x14ac:dyDescent="0.3">
      <c r="I7880" s="12"/>
      <c r="N7880" s="12"/>
      <c r="S7880" s="12"/>
      <c r="X7880" s="12"/>
      <c r="AM7880" s="12"/>
    </row>
    <row r="7881" spans="9:39" x14ac:dyDescent="0.3">
      <c r="I7881" s="12"/>
      <c r="N7881" s="12"/>
      <c r="S7881" s="12"/>
      <c r="X7881" s="12"/>
      <c r="AM7881" s="12"/>
    </row>
    <row r="7882" spans="9:39" x14ac:dyDescent="0.3">
      <c r="I7882" s="12"/>
      <c r="N7882" s="12"/>
      <c r="S7882" s="12"/>
      <c r="X7882" s="12"/>
      <c r="AM7882" s="12"/>
    </row>
    <row r="7883" spans="9:39" x14ac:dyDescent="0.3">
      <c r="I7883" s="12"/>
      <c r="N7883" s="12"/>
      <c r="S7883" s="12"/>
      <c r="X7883" s="12"/>
      <c r="AM7883" s="12"/>
    </row>
    <row r="7884" spans="9:39" x14ac:dyDescent="0.3">
      <c r="I7884" s="12"/>
      <c r="N7884" s="12"/>
      <c r="S7884" s="12"/>
      <c r="X7884" s="12"/>
      <c r="AM7884" s="12"/>
    </row>
    <row r="7885" spans="9:39" x14ac:dyDescent="0.3">
      <c r="I7885" s="12"/>
      <c r="N7885" s="12"/>
      <c r="S7885" s="12"/>
      <c r="X7885" s="12"/>
      <c r="AM7885" s="12"/>
    </row>
    <row r="7886" spans="9:39" x14ac:dyDescent="0.3">
      <c r="I7886" s="12"/>
      <c r="N7886" s="12"/>
      <c r="S7886" s="12"/>
      <c r="X7886" s="12"/>
      <c r="AM7886" s="12"/>
    </row>
    <row r="7887" spans="9:39" x14ac:dyDescent="0.3">
      <c r="I7887" s="12"/>
      <c r="N7887" s="12"/>
      <c r="S7887" s="12"/>
      <c r="X7887" s="12"/>
      <c r="AM7887" s="12"/>
    </row>
    <row r="7888" spans="9:39" x14ac:dyDescent="0.3">
      <c r="I7888" s="12"/>
      <c r="N7888" s="12"/>
      <c r="S7888" s="12"/>
      <c r="X7888" s="12"/>
      <c r="AM7888" s="12"/>
    </row>
    <row r="7889" spans="9:39" x14ac:dyDescent="0.3">
      <c r="I7889" s="12"/>
      <c r="N7889" s="12"/>
      <c r="S7889" s="12"/>
      <c r="X7889" s="12"/>
      <c r="AM7889" s="12"/>
    </row>
    <row r="7890" spans="9:39" x14ac:dyDescent="0.3">
      <c r="I7890" s="12"/>
      <c r="N7890" s="12"/>
      <c r="S7890" s="12"/>
      <c r="X7890" s="12"/>
      <c r="AM7890" s="12"/>
    </row>
    <row r="7891" spans="9:39" x14ac:dyDescent="0.3">
      <c r="I7891" s="12"/>
      <c r="N7891" s="12"/>
      <c r="S7891" s="12"/>
      <c r="X7891" s="12"/>
      <c r="AM7891" s="12"/>
    </row>
    <row r="7892" spans="9:39" x14ac:dyDescent="0.3">
      <c r="I7892" s="12"/>
      <c r="N7892" s="12"/>
      <c r="S7892" s="12"/>
      <c r="X7892" s="12"/>
      <c r="AM7892" s="12"/>
    </row>
    <row r="7893" spans="9:39" x14ac:dyDescent="0.3">
      <c r="I7893" s="12"/>
      <c r="N7893" s="12"/>
      <c r="S7893" s="12"/>
      <c r="X7893" s="12"/>
      <c r="AM7893" s="12"/>
    </row>
    <row r="7894" spans="9:39" x14ac:dyDescent="0.3">
      <c r="I7894" s="12"/>
      <c r="N7894" s="12"/>
      <c r="S7894" s="12"/>
      <c r="X7894" s="12"/>
      <c r="AM7894" s="12"/>
    </row>
    <row r="7895" spans="9:39" x14ac:dyDescent="0.3">
      <c r="I7895" s="12"/>
      <c r="N7895" s="12"/>
      <c r="S7895" s="12"/>
      <c r="X7895" s="12"/>
      <c r="AM7895" s="12"/>
    </row>
    <row r="7896" spans="9:39" x14ac:dyDescent="0.3">
      <c r="I7896" s="12"/>
      <c r="N7896" s="12"/>
      <c r="S7896" s="12"/>
      <c r="X7896" s="12"/>
      <c r="AM7896" s="12"/>
    </row>
    <row r="7897" spans="9:39" x14ac:dyDescent="0.3">
      <c r="I7897" s="12"/>
      <c r="N7897" s="12"/>
      <c r="S7897" s="12"/>
      <c r="X7897" s="12"/>
      <c r="AM7897" s="12"/>
    </row>
    <row r="7898" spans="9:39" x14ac:dyDescent="0.3">
      <c r="I7898" s="12"/>
      <c r="N7898" s="12"/>
      <c r="S7898" s="12"/>
      <c r="X7898" s="12"/>
      <c r="AM7898" s="12"/>
    </row>
    <row r="7899" spans="9:39" x14ac:dyDescent="0.3">
      <c r="I7899" s="12"/>
      <c r="N7899" s="12"/>
      <c r="S7899" s="12"/>
      <c r="X7899" s="12"/>
      <c r="AM7899" s="12"/>
    </row>
    <row r="7900" spans="9:39" x14ac:dyDescent="0.3">
      <c r="I7900" s="12"/>
      <c r="N7900" s="12"/>
      <c r="S7900" s="12"/>
      <c r="X7900" s="12"/>
      <c r="AM7900" s="12"/>
    </row>
    <row r="7901" spans="9:39" x14ac:dyDescent="0.3">
      <c r="I7901" s="12"/>
      <c r="N7901" s="12"/>
      <c r="S7901" s="12"/>
      <c r="X7901" s="12"/>
      <c r="AM7901" s="12"/>
    </row>
    <row r="7902" spans="9:39" x14ac:dyDescent="0.3">
      <c r="I7902" s="12"/>
      <c r="N7902" s="12"/>
      <c r="S7902" s="12"/>
      <c r="X7902" s="12"/>
      <c r="AM7902" s="12"/>
    </row>
    <row r="7903" spans="9:39" x14ac:dyDescent="0.3">
      <c r="I7903" s="12"/>
      <c r="N7903" s="12"/>
      <c r="S7903" s="12"/>
      <c r="X7903" s="12"/>
      <c r="AM7903" s="12"/>
    </row>
    <row r="7904" spans="9:39" x14ac:dyDescent="0.3">
      <c r="I7904" s="12"/>
      <c r="N7904" s="12"/>
      <c r="S7904" s="12"/>
      <c r="X7904" s="12"/>
      <c r="AM7904" s="12"/>
    </row>
    <row r="7905" spans="9:39" x14ac:dyDescent="0.3">
      <c r="I7905" s="12"/>
      <c r="N7905" s="12"/>
      <c r="S7905" s="12"/>
      <c r="X7905" s="12"/>
      <c r="AM7905" s="12"/>
    </row>
    <row r="7906" spans="9:39" x14ac:dyDescent="0.3">
      <c r="I7906" s="12"/>
      <c r="N7906" s="12"/>
      <c r="S7906" s="12"/>
      <c r="X7906" s="12"/>
      <c r="AM7906" s="12"/>
    </row>
    <row r="7907" spans="9:39" x14ac:dyDescent="0.3">
      <c r="I7907" s="12"/>
      <c r="N7907" s="12"/>
      <c r="S7907" s="12"/>
      <c r="X7907" s="12"/>
      <c r="AM7907" s="12"/>
    </row>
    <row r="7908" spans="9:39" x14ac:dyDescent="0.3">
      <c r="I7908" s="12"/>
      <c r="N7908" s="12"/>
      <c r="S7908" s="12"/>
      <c r="X7908" s="12"/>
      <c r="AM7908" s="12"/>
    </row>
    <row r="7909" spans="9:39" x14ac:dyDescent="0.3">
      <c r="I7909" s="12"/>
      <c r="N7909" s="12"/>
      <c r="S7909" s="12"/>
      <c r="X7909" s="12"/>
      <c r="AM7909" s="12"/>
    </row>
    <row r="7910" spans="9:39" x14ac:dyDescent="0.3">
      <c r="I7910" s="12"/>
      <c r="N7910" s="12"/>
      <c r="S7910" s="12"/>
      <c r="X7910" s="12"/>
      <c r="AM7910" s="12"/>
    </row>
    <row r="7911" spans="9:39" x14ac:dyDescent="0.3">
      <c r="I7911" s="12"/>
      <c r="N7911" s="12"/>
      <c r="S7911" s="12"/>
      <c r="X7911" s="12"/>
      <c r="AM7911" s="12"/>
    </row>
    <row r="7912" spans="9:39" x14ac:dyDescent="0.3">
      <c r="I7912" s="12"/>
      <c r="N7912" s="12"/>
      <c r="S7912" s="12"/>
      <c r="X7912" s="12"/>
      <c r="AM7912" s="12"/>
    </row>
    <row r="7913" spans="9:39" x14ac:dyDescent="0.3">
      <c r="I7913" s="12"/>
      <c r="N7913" s="12"/>
      <c r="S7913" s="12"/>
      <c r="X7913" s="12"/>
      <c r="AM7913" s="12"/>
    </row>
    <row r="7914" spans="9:39" x14ac:dyDescent="0.3">
      <c r="I7914" s="12"/>
      <c r="N7914" s="12"/>
      <c r="S7914" s="12"/>
      <c r="X7914" s="12"/>
      <c r="AM7914" s="12"/>
    </row>
    <row r="7915" spans="9:39" x14ac:dyDescent="0.3">
      <c r="I7915" s="12"/>
      <c r="N7915" s="12"/>
      <c r="S7915" s="12"/>
      <c r="X7915" s="12"/>
      <c r="AM7915" s="12"/>
    </row>
    <row r="7916" spans="9:39" x14ac:dyDescent="0.3">
      <c r="I7916" s="12"/>
      <c r="N7916" s="12"/>
      <c r="S7916" s="12"/>
      <c r="X7916" s="12"/>
      <c r="AM7916" s="12"/>
    </row>
    <row r="7917" spans="9:39" x14ac:dyDescent="0.3">
      <c r="I7917" s="12"/>
      <c r="N7917" s="12"/>
      <c r="S7917" s="12"/>
      <c r="X7917" s="12"/>
      <c r="AM7917" s="12"/>
    </row>
    <row r="7918" spans="9:39" x14ac:dyDescent="0.3">
      <c r="I7918" s="12"/>
      <c r="N7918" s="12"/>
      <c r="S7918" s="12"/>
      <c r="X7918" s="12"/>
      <c r="AM7918" s="12"/>
    </row>
    <row r="7919" spans="9:39" x14ac:dyDescent="0.3">
      <c r="I7919" s="12"/>
      <c r="N7919" s="12"/>
      <c r="S7919" s="12"/>
      <c r="X7919" s="12"/>
      <c r="AM7919" s="12"/>
    </row>
    <row r="7920" spans="9:39" x14ac:dyDescent="0.3">
      <c r="I7920" s="12"/>
      <c r="N7920" s="12"/>
      <c r="S7920" s="12"/>
      <c r="X7920" s="12"/>
      <c r="AM7920" s="12"/>
    </row>
    <row r="7921" spans="9:39" x14ac:dyDescent="0.3">
      <c r="I7921" s="12"/>
      <c r="N7921" s="12"/>
      <c r="S7921" s="12"/>
      <c r="X7921" s="12"/>
      <c r="AM7921" s="12"/>
    </row>
    <row r="7922" spans="9:39" x14ac:dyDescent="0.3">
      <c r="I7922" s="12"/>
      <c r="N7922" s="12"/>
      <c r="S7922" s="12"/>
      <c r="X7922" s="12"/>
      <c r="AM7922" s="12"/>
    </row>
    <row r="7923" spans="9:39" x14ac:dyDescent="0.3">
      <c r="I7923" s="12"/>
      <c r="N7923" s="12"/>
      <c r="S7923" s="12"/>
      <c r="X7923" s="12"/>
      <c r="AM7923" s="12"/>
    </row>
    <row r="7924" spans="9:39" x14ac:dyDescent="0.3">
      <c r="I7924" s="12"/>
      <c r="N7924" s="12"/>
      <c r="S7924" s="12"/>
      <c r="X7924" s="12"/>
      <c r="AM7924" s="12"/>
    </row>
    <row r="7925" spans="9:39" x14ac:dyDescent="0.3">
      <c r="I7925" s="12"/>
      <c r="N7925" s="12"/>
      <c r="S7925" s="12"/>
      <c r="X7925" s="12"/>
      <c r="AM7925" s="12"/>
    </row>
    <row r="7926" spans="9:39" x14ac:dyDescent="0.3">
      <c r="I7926" s="12"/>
      <c r="N7926" s="12"/>
      <c r="S7926" s="12"/>
      <c r="X7926" s="12"/>
      <c r="AM7926" s="12"/>
    </row>
    <row r="7927" spans="9:39" x14ac:dyDescent="0.3">
      <c r="I7927" s="12"/>
      <c r="N7927" s="12"/>
      <c r="S7927" s="12"/>
      <c r="X7927" s="12"/>
      <c r="AM7927" s="12"/>
    </row>
    <row r="7928" spans="9:39" x14ac:dyDescent="0.3">
      <c r="I7928" s="12"/>
      <c r="N7928" s="12"/>
      <c r="S7928" s="12"/>
      <c r="X7928" s="12"/>
      <c r="AM7928" s="12"/>
    </row>
    <row r="7929" spans="9:39" x14ac:dyDescent="0.3">
      <c r="I7929" s="12"/>
      <c r="N7929" s="12"/>
      <c r="S7929" s="12"/>
      <c r="X7929" s="12"/>
      <c r="AM7929" s="12"/>
    </row>
    <row r="7930" spans="9:39" x14ac:dyDescent="0.3">
      <c r="I7930" s="12"/>
      <c r="N7930" s="12"/>
      <c r="S7930" s="12"/>
      <c r="X7930" s="12"/>
      <c r="AM7930" s="12"/>
    </row>
    <row r="7931" spans="9:39" x14ac:dyDescent="0.3">
      <c r="I7931" s="12"/>
      <c r="N7931" s="12"/>
      <c r="S7931" s="12"/>
      <c r="X7931" s="12"/>
      <c r="AM7931" s="12"/>
    </row>
    <row r="7932" spans="9:39" x14ac:dyDescent="0.3">
      <c r="I7932" s="12"/>
      <c r="N7932" s="12"/>
      <c r="S7932" s="12"/>
      <c r="X7932" s="12"/>
      <c r="AM7932" s="12"/>
    </row>
    <row r="7933" spans="9:39" x14ac:dyDescent="0.3">
      <c r="I7933" s="12"/>
      <c r="N7933" s="12"/>
      <c r="S7933" s="12"/>
      <c r="X7933" s="12"/>
      <c r="AM7933" s="12"/>
    </row>
    <row r="7934" spans="9:39" x14ac:dyDescent="0.3">
      <c r="I7934" s="12"/>
      <c r="N7934" s="12"/>
      <c r="S7934" s="12"/>
      <c r="X7934" s="12"/>
      <c r="AM7934" s="12"/>
    </row>
    <row r="7935" spans="9:39" x14ac:dyDescent="0.3">
      <c r="I7935" s="12"/>
      <c r="N7935" s="12"/>
      <c r="S7935" s="12"/>
      <c r="X7935" s="12"/>
      <c r="AM7935" s="12"/>
    </row>
    <row r="7936" spans="9:39" x14ac:dyDescent="0.3">
      <c r="I7936" s="12"/>
      <c r="N7936" s="12"/>
      <c r="S7936" s="12"/>
      <c r="X7936" s="12"/>
      <c r="AM7936" s="12"/>
    </row>
    <row r="7937" spans="9:39" x14ac:dyDescent="0.3">
      <c r="I7937" s="12"/>
      <c r="N7937" s="12"/>
      <c r="S7937" s="12"/>
      <c r="X7937" s="12"/>
      <c r="AM7937" s="12"/>
    </row>
    <row r="7938" spans="9:39" x14ac:dyDescent="0.3">
      <c r="I7938" s="12"/>
      <c r="N7938" s="12"/>
      <c r="S7938" s="12"/>
      <c r="X7938" s="12"/>
      <c r="AM7938" s="12"/>
    </row>
    <row r="7939" spans="9:39" x14ac:dyDescent="0.3">
      <c r="I7939" s="12"/>
      <c r="N7939" s="12"/>
      <c r="S7939" s="12"/>
      <c r="X7939" s="12"/>
      <c r="AM7939" s="12"/>
    </row>
    <row r="7940" spans="9:39" x14ac:dyDescent="0.3">
      <c r="I7940" s="12"/>
      <c r="N7940" s="12"/>
      <c r="S7940" s="12"/>
      <c r="X7940" s="12"/>
      <c r="AM7940" s="12"/>
    </row>
    <row r="7941" spans="9:39" x14ac:dyDescent="0.3">
      <c r="I7941" s="12"/>
      <c r="N7941" s="12"/>
      <c r="S7941" s="12"/>
      <c r="X7941" s="12"/>
      <c r="AM7941" s="12"/>
    </row>
    <row r="7942" spans="9:39" x14ac:dyDescent="0.3">
      <c r="I7942" s="12"/>
      <c r="N7942" s="12"/>
      <c r="S7942" s="12"/>
      <c r="X7942" s="12"/>
      <c r="AM7942" s="12"/>
    </row>
    <row r="7943" spans="9:39" x14ac:dyDescent="0.3">
      <c r="I7943" s="12"/>
      <c r="N7943" s="12"/>
      <c r="S7943" s="12"/>
      <c r="X7943" s="12"/>
      <c r="AM7943" s="12"/>
    </row>
    <row r="7944" spans="9:39" x14ac:dyDescent="0.3">
      <c r="I7944" s="12"/>
      <c r="N7944" s="12"/>
      <c r="S7944" s="12"/>
      <c r="X7944" s="12"/>
      <c r="AM7944" s="12"/>
    </row>
    <row r="7945" spans="9:39" x14ac:dyDescent="0.3">
      <c r="I7945" s="12"/>
      <c r="N7945" s="12"/>
      <c r="S7945" s="12"/>
      <c r="X7945" s="12"/>
      <c r="AM7945" s="12"/>
    </row>
    <row r="7946" spans="9:39" x14ac:dyDescent="0.3">
      <c r="I7946" s="12"/>
      <c r="N7946" s="12"/>
      <c r="S7946" s="12"/>
      <c r="X7946" s="12"/>
      <c r="AM7946" s="12"/>
    </row>
    <row r="7947" spans="9:39" x14ac:dyDescent="0.3">
      <c r="I7947" s="12"/>
      <c r="N7947" s="12"/>
      <c r="S7947" s="12"/>
      <c r="X7947" s="12"/>
      <c r="AM7947" s="12"/>
    </row>
    <row r="7948" spans="9:39" x14ac:dyDescent="0.3">
      <c r="I7948" s="12"/>
      <c r="N7948" s="12"/>
      <c r="S7948" s="12"/>
      <c r="X7948" s="12"/>
      <c r="AM7948" s="12"/>
    </row>
    <row r="7949" spans="9:39" x14ac:dyDescent="0.3">
      <c r="I7949" s="12"/>
      <c r="N7949" s="12"/>
      <c r="S7949" s="12"/>
      <c r="X7949" s="12"/>
      <c r="AM7949" s="12"/>
    </row>
    <row r="7950" spans="9:39" x14ac:dyDescent="0.3">
      <c r="I7950" s="12"/>
      <c r="N7950" s="12"/>
      <c r="S7950" s="12"/>
      <c r="X7950" s="12"/>
      <c r="AM7950" s="12"/>
    </row>
    <row r="7951" spans="9:39" x14ac:dyDescent="0.3">
      <c r="I7951" s="12"/>
      <c r="N7951" s="12"/>
      <c r="S7951" s="12"/>
      <c r="X7951" s="12"/>
      <c r="AM7951" s="12"/>
    </row>
    <row r="7952" spans="9:39" x14ac:dyDescent="0.3">
      <c r="I7952" s="12"/>
      <c r="N7952" s="12"/>
      <c r="S7952" s="12"/>
      <c r="X7952" s="12"/>
      <c r="AM7952" s="12"/>
    </row>
    <row r="7953" spans="9:39" x14ac:dyDescent="0.3">
      <c r="I7953" s="12"/>
      <c r="N7953" s="12"/>
      <c r="S7953" s="12"/>
      <c r="X7953" s="12"/>
      <c r="AM7953" s="12"/>
    </row>
    <row r="7954" spans="9:39" x14ac:dyDescent="0.3">
      <c r="I7954" s="12"/>
      <c r="N7954" s="12"/>
      <c r="S7954" s="12"/>
      <c r="X7954" s="12"/>
      <c r="AM7954" s="12"/>
    </row>
    <row r="7955" spans="9:39" x14ac:dyDescent="0.3">
      <c r="I7955" s="12"/>
      <c r="N7955" s="12"/>
      <c r="S7955" s="12"/>
      <c r="X7955" s="12"/>
      <c r="AM7955" s="12"/>
    </row>
    <row r="7956" spans="9:39" x14ac:dyDescent="0.3">
      <c r="I7956" s="12"/>
      <c r="N7956" s="12"/>
      <c r="S7956" s="12"/>
      <c r="X7956" s="12"/>
      <c r="AM7956" s="12"/>
    </row>
    <row r="7957" spans="9:39" x14ac:dyDescent="0.3">
      <c r="I7957" s="12"/>
      <c r="N7957" s="12"/>
      <c r="S7957" s="12"/>
      <c r="X7957" s="12"/>
      <c r="AM7957" s="12"/>
    </row>
    <row r="7958" spans="9:39" x14ac:dyDescent="0.3">
      <c r="I7958" s="12"/>
      <c r="N7958" s="12"/>
      <c r="S7958" s="12"/>
      <c r="X7958" s="12"/>
      <c r="AM7958" s="12"/>
    </row>
    <row r="7959" spans="9:39" x14ac:dyDescent="0.3">
      <c r="I7959" s="12"/>
      <c r="N7959" s="12"/>
      <c r="S7959" s="12"/>
      <c r="X7959" s="12"/>
      <c r="AM7959" s="12"/>
    </row>
    <row r="7960" spans="9:39" x14ac:dyDescent="0.3">
      <c r="I7960" s="12"/>
      <c r="N7960" s="12"/>
      <c r="S7960" s="12"/>
      <c r="X7960" s="12"/>
      <c r="AM7960" s="12"/>
    </row>
    <row r="7961" spans="9:39" x14ac:dyDescent="0.3">
      <c r="I7961" s="12"/>
      <c r="N7961" s="12"/>
      <c r="S7961" s="12"/>
      <c r="X7961" s="12"/>
      <c r="AM7961" s="12"/>
    </row>
    <row r="7962" spans="9:39" x14ac:dyDescent="0.3">
      <c r="I7962" s="12"/>
      <c r="N7962" s="12"/>
      <c r="S7962" s="12"/>
      <c r="X7962" s="12"/>
      <c r="AM7962" s="12"/>
    </row>
    <row r="7963" spans="9:39" x14ac:dyDescent="0.3">
      <c r="I7963" s="12"/>
      <c r="N7963" s="12"/>
      <c r="S7963" s="12"/>
      <c r="X7963" s="12"/>
      <c r="AM7963" s="12"/>
    </row>
    <row r="7964" spans="9:39" x14ac:dyDescent="0.3">
      <c r="I7964" s="12"/>
      <c r="N7964" s="12"/>
      <c r="S7964" s="12"/>
      <c r="X7964" s="12"/>
      <c r="AM7964" s="12"/>
    </row>
    <row r="7965" spans="9:39" x14ac:dyDescent="0.3">
      <c r="I7965" s="12"/>
      <c r="N7965" s="12"/>
      <c r="S7965" s="12"/>
      <c r="X7965" s="12"/>
      <c r="AM7965" s="12"/>
    </row>
    <row r="7966" spans="9:39" x14ac:dyDescent="0.3">
      <c r="I7966" s="12"/>
      <c r="N7966" s="12"/>
      <c r="S7966" s="12"/>
      <c r="X7966" s="12"/>
      <c r="AM7966" s="12"/>
    </row>
    <row r="7967" spans="9:39" x14ac:dyDescent="0.3">
      <c r="I7967" s="12"/>
      <c r="N7967" s="12"/>
      <c r="S7967" s="12"/>
      <c r="X7967" s="12"/>
      <c r="AM7967" s="12"/>
    </row>
    <row r="7968" spans="9:39" x14ac:dyDescent="0.3">
      <c r="I7968" s="12"/>
      <c r="N7968" s="12"/>
      <c r="S7968" s="12"/>
      <c r="X7968" s="12"/>
      <c r="AM7968" s="12"/>
    </row>
    <row r="7969" spans="9:39" x14ac:dyDescent="0.3">
      <c r="I7969" s="12"/>
      <c r="N7969" s="12"/>
      <c r="S7969" s="12"/>
      <c r="X7969" s="12"/>
      <c r="AM7969" s="12"/>
    </row>
    <row r="7970" spans="9:39" x14ac:dyDescent="0.3">
      <c r="I7970" s="12"/>
      <c r="N7970" s="12"/>
      <c r="S7970" s="12"/>
      <c r="X7970" s="12"/>
      <c r="AM7970" s="12"/>
    </row>
    <row r="7971" spans="9:39" x14ac:dyDescent="0.3">
      <c r="I7971" s="12"/>
      <c r="N7971" s="12"/>
      <c r="S7971" s="12"/>
      <c r="X7971" s="12"/>
      <c r="AM7971" s="12"/>
    </row>
    <row r="7972" spans="9:39" x14ac:dyDescent="0.3">
      <c r="I7972" s="12"/>
      <c r="N7972" s="12"/>
      <c r="S7972" s="12"/>
      <c r="X7972" s="12"/>
      <c r="AM7972" s="12"/>
    </row>
    <row r="7973" spans="9:39" x14ac:dyDescent="0.3">
      <c r="I7973" s="12"/>
      <c r="N7973" s="12"/>
      <c r="S7973" s="12"/>
      <c r="X7973" s="12"/>
      <c r="AM7973" s="12"/>
    </row>
    <row r="7974" spans="9:39" x14ac:dyDescent="0.3">
      <c r="I7974" s="12"/>
      <c r="N7974" s="12"/>
      <c r="S7974" s="12"/>
      <c r="X7974" s="12"/>
      <c r="AM7974" s="12"/>
    </row>
    <row r="7975" spans="9:39" x14ac:dyDescent="0.3">
      <c r="I7975" s="12"/>
      <c r="N7975" s="12"/>
      <c r="S7975" s="12"/>
      <c r="X7975" s="12"/>
      <c r="AM7975" s="12"/>
    </row>
    <row r="7976" spans="9:39" x14ac:dyDescent="0.3">
      <c r="I7976" s="12"/>
      <c r="N7976" s="12"/>
      <c r="S7976" s="12"/>
      <c r="X7976" s="12"/>
      <c r="AM7976" s="12"/>
    </row>
    <row r="7977" spans="9:39" x14ac:dyDescent="0.3">
      <c r="I7977" s="12"/>
      <c r="N7977" s="12"/>
      <c r="S7977" s="12"/>
      <c r="X7977" s="12"/>
      <c r="AM7977" s="12"/>
    </row>
    <row r="7978" spans="9:39" x14ac:dyDescent="0.3">
      <c r="I7978" s="12"/>
      <c r="N7978" s="12"/>
      <c r="S7978" s="12"/>
      <c r="X7978" s="12"/>
      <c r="AM7978" s="12"/>
    </row>
    <row r="7979" spans="9:39" x14ac:dyDescent="0.3">
      <c r="I7979" s="12"/>
      <c r="N7979" s="12"/>
      <c r="S7979" s="12"/>
      <c r="X7979" s="12"/>
      <c r="AM7979" s="12"/>
    </row>
    <row r="7980" spans="9:39" x14ac:dyDescent="0.3">
      <c r="I7980" s="12"/>
      <c r="N7980" s="12"/>
      <c r="S7980" s="12"/>
      <c r="X7980" s="12"/>
      <c r="AM7980" s="12"/>
    </row>
    <row r="7981" spans="9:39" x14ac:dyDescent="0.3">
      <c r="I7981" s="12"/>
      <c r="N7981" s="12"/>
      <c r="S7981" s="12"/>
      <c r="X7981" s="12"/>
      <c r="AM7981" s="12"/>
    </row>
    <row r="7982" spans="9:39" x14ac:dyDescent="0.3">
      <c r="I7982" s="12"/>
      <c r="N7982" s="12"/>
      <c r="S7982" s="12"/>
      <c r="X7982" s="12"/>
      <c r="AM7982" s="12"/>
    </row>
    <row r="7983" spans="9:39" x14ac:dyDescent="0.3">
      <c r="I7983" s="12"/>
      <c r="N7983" s="12"/>
      <c r="S7983" s="12"/>
      <c r="X7983" s="12"/>
      <c r="AM7983" s="12"/>
    </row>
    <row r="7984" spans="9:39" x14ac:dyDescent="0.3">
      <c r="I7984" s="12"/>
      <c r="N7984" s="12"/>
      <c r="S7984" s="12"/>
      <c r="X7984" s="12"/>
      <c r="AM7984" s="12"/>
    </row>
    <row r="7985" spans="9:39" x14ac:dyDescent="0.3">
      <c r="I7985" s="12"/>
      <c r="N7985" s="12"/>
      <c r="S7985" s="12"/>
      <c r="X7985" s="12"/>
      <c r="AM7985" s="12"/>
    </row>
    <row r="7986" spans="9:39" x14ac:dyDescent="0.3">
      <c r="I7986" s="12"/>
      <c r="N7986" s="12"/>
      <c r="S7986" s="12"/>
      <c r="X7986" s="12"/>
      <c r="AM7986" s="12"/>
    </row>
    <row r="7987" spans="9:39" x14ac:dyDescent="0.3">
      <c r="I7987" s="12"/>
      <c r="N7987" s="12"/>
      <c r="S7987" s="12"/>
      <c r="X7987" s="12"/>
      <c r="AM7987" s="12"/>
    </row>
    <row r="7988" spans="9:39" x14ac:dyDescent="0.3">
      <c r="I7988" s="12"/>
      <c r="N7988" s="12"/>
      <c r="S7988" s="12"/>
      <c r="X7988" s="12"/>
      <c r="AM7988" s="12"/>
    </row>
    <row r="7989" spans="9:39" x14ac:dyDescent="0.3">
      <c r="I7989" s="12"/>
      <c r="N7989" s="12"/>
      <c r="S7989" s="12"/>
      <c r="X7989" s="12"/>
      <c r="AM7989" s="12"/>
    </row>
    <row r="7990" spans="9:39" x14ac:dyDescent="0.3">
      <c r="I7990" s="12"/>
      <c r="N7990" s="12"/>
      <c r="S7990" s="12"/>
      <c r="X7990" s="12"/>
      <c r="AM7990" s="12"/>
    </row>
    <row r="7991" spans="9:39" x14ac:dyDescent="0.3">
      <c r="I7991" s="12"/>
      <c r="N7991" s="12"/>
      <c r="S7991" s="12"/>
      <c r="X7991" s="12"/>
      <c r="AM7991" s="12"/>
    </row>
    <row r="7992" spans="9:39" x14ac:dyDescent="0.3">
      <c r="I7992" s="12"/>
      <c r="N7992" s="12"/>
      <c r="S7992" s="12"/>
      <c r="X7992" s="12"/>
      <c r="AM7992" s="12"/>
    </row>
    <row r="7993" spans="9:39" x14ac:dyDescent="0.3">
      <c r="I7993" s="12"/>
      <c r="N7993" s="12"/>
      <c r="S7993" s="12"/>
      <c r="X7993" s="12"/>
      <c r="AM7993" s="12"/>
    </row>
    <row r="7994" spans="9:39" x14ac:dyDescent="0.3">
      <c r="I7994" s="12"/>
      <c r="N7994" s="12"/>
      <c r="S7994" s="12"/>
      <c r="X7994" s="12"/>
      <c r="AM7994" s="12"/>
    </row>
    <row r="7995" spans="9:39" x14ac:dyDescent="0.3">
      <c r="I7995" s="12"/>
      <c r="N7995" s="12"/>
      <c r="S7995" s="12"/>
      <c r="X7995" s="12"/>
      <c r="AM7995" s="12"/>
    </row>
    <row r="7996" spans="9:39" x14ac:dyDescent="0.3">
      <c r="I7996" s="12"/>
      <c r="N7996" s="12"/>
      <c r="S7996" s="12"/>
      <c r="X7996" s="12"/>
      <c r="AM7996" s="12"/>
    </row>
    <row r="7997" spans="9:39" x14ac:dyDescent="0.3">
      <c r="I7997" s="12"/>
      <c r="N7997" s="12"/>
      <c r="S7997" s="12"/>
      <c r="X7997" s="12"/>
      <c r="AM7997" s="12"/>
    </row>
    <row r="7998" spans="9:39" x14ac:dyDescent="0.3">
      <c r="I7998" s="12"/>
      <c r="N7998" s="12"/>
      <c r="S7998" s="12"/>
      <c r="X7998" s="12"/>
      <c r="AM7998" s="12"/>
    </row>
    <row r="7999" spans="9:39" x14ac:dyDescent="0.3">
      <c r="I7999" s="12"/>
      <c r="N7999" s="12"/>
      <c r="S7999" s="12"/>
      <c r="X7999" s="12"/>
      <c r="AM7999" s="12"/>
    </row>
    <row r="8000" spans="9:39" x14ac:dyDescent="0.3">
      <c r="I8000" s="12"/>
      <c r="N8000" s="12"/>
      <c r="S8000" s="12"/>
      <c r="X8000" s="12"/>
      <c r="AM8000" s="12"/>
    </row>
    <row r="8001" spans="9:39" x14ac:dyDescent="0.3">
      <c r="I8001" s="12"/>
      <c r="N8001" s="12"/>
      <c r="S8001" s="12"/>
      <c r="X8001" s="12"/>
      <c r="AM8001" s="12"/>
    </row>
    <row r="8002" spans="9:39" x14ac:dyDescent="0.3">
      <c r="I8002" s="12"/>
      <c r="N8002" s="12"/>
      <c r="S8002" s="12"/>
      <c r="X8002" s="12"/>
      <c r="AM8002" s="12"/>
    </row>
    <row r="8003" spans="9:39" x14ac:dyDescent="0.3">
      <c r="I8003" s="12"/>
      <c r="N8003" s="12"/>
      <c r="S8003" s="12"/>
      <c r="X8003" s="12"/>
      <c r="AM8003" s="12"/>
    </row>
    <row r="8004" spans="9:39" x14ac:dyDescent="0.3">
      <c r="I8004" s="12"/>
      <c r="N8004" s="12"/>
      <c r="S8004" s="12"/>
      <c r="X8004" s="12"/>
      <c r="AM8004" s="12"/>
    </row>
    <row r="8005" spans="9:39" x14ac:dyDescent="0.3">
      <c r="I8005" s="12"/>
      <c r="N8005" s="12"/>
      <c r="S8005" s="12"/>
      <c r="X8005" s="12"/>
      <c r="AM8005" s="12"/>
    </row>
    <row r="8006" spans="9:39" x14ac:dyDescent="0.3">
      <c r="I8006" s="12"/>
      <c r="N8006" s="12"/>
      <c r="S8006" s="12"/>
      <c r="X8006" s="12"/>
      <c r="AM8006" s="12"/>
    </row>
    <row r="8007" spans="9:39" x14ac:dyDescent="0.3">
      <c r="I8007" s="12"/>
      <c r="N8007" s="12"/>
      <c r="S8007" s="12"/>
      <c r="X8007" s="12"/>
      <c r="AM8007" s="12"/>
    </row>
    <row r="8008" spans="9:39" x14ac:dyDescent="0.3">
      <c r="I8008" s="12"/>
      <c r="N8008" s="12"/>
      <c r="S8008" s="12"/>
      <c r="X8008" s="12"/>
      <c r="AM8008" s="12"/>
    </row>
    <row r="8009" spans="9:39" x14ac:dyDescent="0.3">
      <c r="I8009" s="12"/>
      <c r="N8009" s="12"/>
      <c r="S8009" s="12"/>
      <c r="X8009" s="12"/>
      <c r="AM8009" s="12"/>
    </row>
    <row r="8010" spans="9:39" x14ac:dyDescent="0.3">
      <c r="I8010" s="12"/>
      <c r="N8010" s="12"/>
      <c r="S8010" s="12"/>
      <c r="X8010" s="12"/>
      <c r="AM8010" s="12"/>
    </row>
    <row r="8011" spans="9:39" x14ac:dyDescent="0.3">
      <c r="I8011" s="12"/>
      <c r="N8011" s="12"/>
      <c r="S8011" s="12"/>
      <c r="X8011" s="12"/>
      <c r="AM8011" s="12"/>
    </row>
    <row r="8012" spans="9:39" x14ac:dyDescent="0.3">
      <c r="I8012" s="12"/>
      <c r="N8012" s="12"/>
      <c r="S8012" s="12"/>
      <c r="X8012" s="12"/>
      <c r="AM8012" s="12"/>
    </row>
    <row r="8013" spans="9:39" x14ac:dyDescent="0.3">
      <c r="I8013" s="12"/>
      <c r="N8013" s="12"/>
      <c r="S8013" s="12"/>
      <c r="X8013" s="12"/>
      <c r="AM8013" s="12"/>
    </row>
    <row r="8014" spans="9:39" x14ac:dyDescent="0.3">
      <c r="I8014" s="12"/>
      <c r="N8014" s="12"/>
      <c r="S8014" s="12"/>
      <c r="X8014" s="12"/>
      <c r="AM8014" s="12"/>
    </row>
    <row r="8015" spans="9:39" x14ac:dyDescent="0.3">
      <c r="I8015" s="12"/>
      <c r="N8015" s="12"/>
      <c r="S8015" s="12"/>
      <c r="X8015" s="12"/>
      <c r="AM8015" s="12"/>
    </row>
    <row r="8016" spans="9:39" x14ac:dyDescent="0.3">
      <c r="I8016" s="12"/>
      <c r="N8016" s="12"/>
      <c r="S8016" s="12"/>
      <c r="X8016" s="12"/>
      <c r="AM8016" s="12"/>
    </row>
    <row r="8017" spans="9:39" x14ac:dyDescent="0.3">
      <c r="I8017" s="12"/>
      <c r="N8017" s="12"/>
      <c r="S8017" s="12"/>
      <c r="X8017" s="12"/>
      <c r="AM8017" s="12"/>
    </row>
    <row r="8018" spans="9:39" x14ac:dyDescent="0.3">
      <c r="I8018" s="12"/>
      <c r="N8018" s="12"/>
      <c r="S8018" s="12"/>
      <c r="X8018" s="12"/>
      <c r="AM8018" s="12"/>
    </row>
    <row r="8019" spans="9:39" x14ac:dyDescent="0.3">
      <c r="I8019" s="12"/>
      <c r="N8019" s="12"/>
      <c r="S8019" s="12"/>
      <c r="X8019" s="12"/>
      <c r="AM8019" s="12"/>
    </row>
    <row r="8020" spans="9:39" x14ac:dyDescent="0.3">
      <c r="I8020" s="12"/>
      <c r="N8020" s="12"/>
      <c r="S8020" s="12"/>
      <c r="X8020" s="12"/>
      <c r="AM8020" s="12"/>
    </row>
    <row r="8021" spans="9:39" x14ac:dyDescent="0.3">
      <c r="I8021" s="12"/>
      <c r="N8021" s="12"/>
      <c r="S8021" s="12"/>
      <c r="X8021" s="12"/>
      <c r="AM8021" s="12"/>
    </row>
    <row r="8022" spans="9:39" x14ac:dyDescent="0.3">
      <c r="I8022" s="12"/>
      <c r="N8022" s="12"/>
      <c r="S8022" s="12"/>
      <c r="X8022" s="12"/>
      <c r="AM8022" s="12"/>
    </row>
    <row r="8023" spans="9:39" x14ac:dyDescent="0.3">
      <c r="I8023" s="12"/>
      <c r="N8023" s="12"/>
      <c r="S8023" s="12"/>
      <c r="X8023" s="12"/>
      <c r="AM8023" s="12"/>
    </row>
    <row r="8024" spans="9:39" x14ac:dyDescent="0.3">
      <c r="I8024" s="12"/>
      <c r="N8024" s="12"/>
      <c r="S8024" s="12"/>
      <c r="X8024" s="12"/>
      <c r="AM8024" s="12"/>
    </row>
    <row r="8025" spans="9:39" x14ac:dyDescent="0.3">
      <c r="I8025" s="12"/>
      <c r="N8025" s="12"/>
      <c r="S8025" s="12"/>
      <c r="X8025" s="12"/>
      <c r="AM8025" s="12"/>
    </row>
    <row r="8026" spans="9:39" x14ac:dyDescent="0.3">
      <c r="I8026" s="12"/>
      <c r="N8026" s="12"/>
      <c r="S8026" s="12"/>
      <c r="X8026" s="12"/>
      <c r="AM8026" s="12"/>
    </row>
    <row r="8027" spans="9:39" x14ac:dyDescent="0.3">
      <c r="I8027" s="12"/>
      <c r="N8027" s="12"/>
      <c r="S8027" s="12"/>
      <c r="X8027" s="12"/>
      <c r="AM8027" s="12"/>
    </row>
    <row r="8028" spans="9:39" x14ac:dyDescent="0.3">
      <c r="I8028" s="12"/>
      <c r="N8028" s="12"/>
      <c r="S8028" s="12"/>
      <c r="X8028" s="12"/>
      <c r="AM8028" s="12"/>
    </row>
    <row r="8029" spans="9:39" x14ac:dyDescent="0.3">
      <c r="I8029" s="12"/>
      <c r="N8029" s="12"/>
      <c r="S8029" s="12"/>
      <c r="X8029" s="12"/>
      <c r="AM8029" s="12"/>
    </row>
    <row r="8030" spans="9:39" x14ac:dyDescent="0.3">
      <c r="I8030" s="12"/>
      <c r="N8030" s="12"/>
      <c r="S8030" s="12"/>
      <c r="X8030" s="12"/>
      <c r="AM8030" s="12"/>
    </row>
    <row r="8031" spans="9:39" x14ac:dyDescent="0.3">
      <c r="I8031" s="12"/>
      <c r="N8031" s="12"/>
      <c r="S8031" s="12"/>
      <c r="X8031" s="12"/>
      <c r="AM8031" s="12"/>
    </row>
    <row r="8032" spans="9:39" x14ac:dyDescent="0.3">
      <c r="I8032" s="12"/>
      <c r="N8032" s="12"/>
      <c r="S8032" s="12"/>
      <c r="X8032" s="12"/>
      <c r="AM8032" s="12"/>
    </row>
    <row r="8033" spans="9:39" x14ac:dyDescent="0.3">
      <c r="I8033" s="12"/>
      <c r="N8033" s="12"/>
      <c r="S8033" s="12"/>
      <c r="X8033" s="12"/>
      <c r="AM8033" s="12"/>
    </row>
    <row r="8034" spans="9:39" x14ac:dyDescent="0.3">
      <c r="I8034" s="12"/>
      <c r="N8034" s="12"/>
      <c r="S8034" s="12"/>
      <c r="X8034" s="12"/>
      <c r="AM8034" s="12"/>
    </row>
    <row r="8035" spans="9:39" x14ac:dyDescent="0.3">
      <c r="I8035" s="12"/>
      <c r="N8035" s="12"/>
      <c r="S8035" s="12"/>
      <c r="X8035" s="12"/>
      <c r="AM8035" s="12"/>
    </row>
    <row r="8036" spans="9:39" x14ac:dyDescent="0.3">
      <c r="I8036" s="12"/>
      <c r="N8036" s="12"/>
      <c r="S8036" s="12"/>
      <c r="X8036" s="12"/>
      <c r="AM8036" s="12"/>
    </row>
    <row r="8037" spans="9:39" x14ac:dyDescent="0.3">
      <c r="I8037" s="12"/>
      <c r="N8037" s="12"/>
      <c r="S8037" s="12"/>
      <c r="X8037" s="12"/>
      <c r="AM8037" s="12"/>
    </row>
    <row r="8038" spans="9:39" x14ac:dyDescent="0.3">
      <c r="I8038" s="12"/>
      <c r="N8038" s="12"/>
      <c r="S8038" s="12"/>
      <c r="X8038" s="12"/>
      <c r="AM8038" s="12"/>
    </row>
    <row r="8039" spans="9:39" x14ac:dyDescent="0.3">
      <c r="I8039" s="12"/>
      <c r="N8039" s="12"/>
      <c r="S8039" s="12"/>
      <c r="X8039" s="12"/>
      <c r="AM8039" s="12"/>
    </row>
    <row r="8040" spans="9:39" x14ac:dyDescent="0.3">
      <c r="I8040" s="12"/>
      <c r="N8040" s="12"/>
      <c r="S8040" s="12"/>
      <c r="X8040" s="12"/>
      <c r="AM8040" s="12"/>
    </row>
    <row r="8041" spans="9:39" x14ac:dyDescent="0.3">
      <c r="I8041" s="12"/>
      <c r="N8041" s="12"/>
      <c r="S8041" s="12"/>
      <c r="X8041" s="12"/>
      <c r="AM8041" s="12"/>
    </row>
    <row r="8042" spans="9:39" x14ac:dyDescent="0.3">
      <c r="I8042" s="12"/>
      <c r="N8042" s="12"/>
      <c r="S8042" s="12"/>
      <c r="X8042" s="12"/>
      <c r="AM8042" s="12"/>
    </row>
    <row r="8043" spans="9:39" x14ac:dyDescent="0.3">
      <c r="I8043" s="12"/>
      <c r="N8043" s="12"/>
      <c r="S8043" s="12"/>
      <c r="X8043" s="12"/>
      <c r="AM8043" s="12"/>
    </row>
    <row r="8044" spans="9:39" x14ac:dyDescent="0.3">
      <c r="I8044" s="12"/>
      <c r="N8044" s="12"/>
      <c r="S8044" s="12"/>
      <c r="X8044" s="12"/>
      <c r="AM8044" s="12"/>
    </row>
    <row r="8045" spans="9:39" x14ac:dyDescent="0.3">
      <c r="I8045" s="12"/>
      <c r="N8045" s="12"/>
      <c r="S8045" s="12"/>
      <c r="X8045" s="12"/>
      <c r="AM8045" s="12"/>
    </row>
    <row r="8046" spans="9:39" x14ac:dyDescent="0.3">
      <c r="I8046" s="12"/>
      <c r="N8046" s="12"/>
      <c r="S8046" s="12"/>
      <c r="X8046" s="12"/>
      <c r="AM8046" s="12"/>
    </row>
    <row r="8047" spans="9:39" x14ac:dyDescent="0.3">
      <c r="I8047" s="12"/>
      <c r="N8047" s="12"/>
      <c r="S8047" s="12"/>
      <c r="X8047" s="12"/>
      <c r="AM8047" s="12"/>
    </row>
    <row r="8048" spans="9:39" x14ac:dyDescent="0.3">
      <c r="I8048" s="12"/>
      <c r="N8048" s="12"/>
      <c r="S8048" s="12"/>
      <c r="X8048" s="12"/>
      <c r="AM8048" s="12"/>
    </row>
    <row r="8049" spans="9:39" x14ac:dyDescent="0.3">
      <c r="I8049" s="12"/>
      <c r="N8049" s="12"/>
      <c r="S8049" s="12"/>
      <c r="X8049" s="12"/>
      <c r="AM8049" s="12"/>
    </row>
    <row r="8050" spans="9:39" x14ac:dyDescent="0.3">
      <c r="I8050" s="12"/>
      <c r="N8050" s="12"/>
      <c r="S8050" s="12"/>
      <c r="X8050" s="12"/>
      <c r="AM8050" s="12"/>
    </row>
    <row r="8051" spans="9:39" x14ac:dyDescent="0.3">
      <c r="I8051" s="12"/>
      <c r="N8051" s="12"/>
      <c r="S8051" s="12"/>
      <c r="X8051" s="12"/>
      <c r="AM8051" s="12"/>
    </row>
    <row r="8052" spans="9:39" x14ac:dyDescent="0.3">
      <c r="I8052" s="12"/>
      <c r="N8052" s="12"/>
      <c r="S8052" s="12"/>
      <c r="X8052" s="12"/>
      <c r="AM8052" s="12"/>
    </row>
    <row r="8053" spans="9:39" x14ac:dyDescent="0.3">
      <c r="I8053" s="12"/>
      <c r="N8053" s="12"/>
      <c r="S8053" s="12"/>
      <c r="X8053" s="12"/>
      <c r="AM8053" s="12"/>
    </row>
    <row r="8054" spans="9:39" x14ac:dyDescent="0.3">
      <c r="I8054" s="12"/>
      <c r="N8054" s="12"/>
      <c r="S8054" s="12"/>
      <c r="X8054" s="12"/>
      <c r="AM8054" s="12"/>
    </row>
    <row r="8055" spans="9:39" x14ac:dyDescent="0.3">
      <c r="I8055" s="12"/>
      <c r="N8055" s="12"/>
      <c r="S8055" s="12"/>
      <c r="X8055" s="12"/>
      <c r="AM8055" s="12"/>
    </row>
    <row r="8056" spans="9:39" x14ac:dyDescent="0.3">
      <c r="I8056" s="12"/>
      <c r="N8056" s="12"/>
      <c r="S8056" s="12"/>
      <c r="X8056" s="12"/>
      <c r="AM8056" s="12"/>
    </row>
    <row r="8057" spans="9:39" x14ac:dyDescent="0.3">
      <c r="I8057" s="12"/>
      <c r="N8057" s="12"/>
      <c r="S8057" s="12"/>
      <c r="X8057" s="12"/>
      <c r="AM8057" s="12"/>
    </row>
    <row r="8058" spans="9:39" x14ac:dyDescent="0.3">
      <c r="I8058" s="12"/>
      <c r="N8058" s="12"/>
      <c r="S8058" s="12"/>
      <c r="X8058" s="12"/>
      <c r="AM8058" s="12"/>
    </row>
    <row r="8059" spans="9:39" x14ac:dyDescent="0.3">
      <c r="I8059" s="12"/>
      <c r="N8059" s="12"/>
      <c r="S8059" s="12"/>
      <c r="X8059" s="12"/>
      <c r="AM8059" s="12"/>
    </row>
    <row r="8060" spans="9:39" x14ac:dyDescent="0.3">
      <c r="I8060" s="12"/>
      <c r="N8060" s="12"/>
      <c r="S8060" s="12"/>
      <c r="X8060" s="12"/>
      <c r="AM8060" s="12"/>
    </row>
    <row r="8061" spans="9:39" x14ac:dyDescent="0.3">
      <c r="I8061" s="12"/>
      <c r="N8061" s="12"/>
      <c r="S8061" s="12"/>
      <c r="X8061" s="12"/>
      <c r="AM8061" s="12"/>
    </row>
    <row r="8062" spans="9:39" x14ac:dyDescent="0.3">
      <c r="I8062" s="12"/>
      <c r="N8062" s="12"/>
      <c r="S8062" s="12"/>
      <c r="X8062" s="12"/>
      <c r="AM8062" s="12"/>
    </row>
    <row r="8063" spans="9:39" x14ac:dyDescent="0.3">
      <c r="I8063" s="12"/>
      <c r="N8063" s="12"/>
      <c r="S8063" s="12"/>
      <c r="X8063" s="12"/>
      <c r="AM8063" s="12"/>
    </row>
    <row r="8064" spans="9:39" x14ac:dyDescent="0.3">
      <c r="I8064" s="12"/>
      <c r="N8064" s="12"/>
      <c r="S8064" s="12"/>
      <c r="X8064" s="12"/>
      <c r="AM8064" s="12"/>
    </row>
    <row r="8065" spans="9:39" x14ac:dyDescent="0.3">
      <c r="I8065" s="12"/>
      <c r="N8065" s="12"/>
      <c r="S8065" s="12"/>
      <c r="X8065" s="12"/>
      <c r="AM8065" s="12"/>
    </row>
    <row r="8066" spans="9:39" x14ac:dyDescent="0.3">
      <c r="I8066" s="12"/>
      <c r="N8066" s="12"/>
      <c r="S8066" s="12"/>
      <c r="X8066" s="12"/>
      <c r="AM8066" s="12"/>
    </row>
    <row r="8067" spans="9:39" x14ac:dyDescent="0.3">
      <c r="I8067" s="12"/>
      <c r="N8067" s="12"/>
      <c r="S8067" s="12"/>
      <c r="X8067" s="12"/>
      <c r="AM8067" s="12"/>
    </row>
    <row r="8068" spans="9:39" x14ac:dyDescent="0.3">
      <c r="I8068" s="12"/>
      <c r="N8068" s="12"/>
      <c r="S8068" s="12"/>
      <c r="X8068" s="12"/>
      <c r="AM8068" s="12"/>
    </row>
    <row r="8069" spans="9:39" x14ac:dyDescent="0.3">
      <c r="I8069" s="12"/>
      <c r="N8069" s="12"/>
      <c r="S8069" s="12"/>
      <c r="X8069" s="12"/>
      <c r="AM8069" s="12"/>
    </row>
    <row r="8070" spans="9:39" x14ac:dyDescent="0.3">
      <c r="I8070" s="12"/>
      <c r="N8070" s="12"/>
      <c r="S8070" s="12"/>
      <c r="X8070" s="12"/>
      <c r="AM8070" s="12"/>
    </row>
    <row r="8071" spans="9:39" x14ac:dyDescent="0.3">
      <c r="I8071" s="12"/>
      <c r="N8071" s="12"/>
      <c r="S8071" s="12"/>
      <c r="X8071" s="12"/>
      <c r="AM8071" s="12"/>
    </row>
    <row r="8072" spans="9:39" x14ac:dyDescent="0.3">
      <c r="I8072" s="12"/>
      <c r="N8072" s="12"/>
      <c r="S8072" s="12"/>
      <c r="X8072" s="12"/>
      <c r="AM8072" s="12"/>
    </row>
    <row r="8073" spans="9:39" x14ac:dyDescent="0.3">
      <c r="I8073" s="12"/>
      <c r="N8073" s="12"/>
      <c r="S8073" s="12"/>
      <c r="X8073" s="12"/>
      <c r="AM8073" s="12"/>
    </row>
    <row r="8074" spans="9:39" x14ac:dyDescent="0.3">
      <c r="I8074" s="12"/>
      <c r="N8074" s="12"/>
      <c r="S8074" s="12"/>
      <c r="X8074" s="12"/>
      <c r="AM8074" s="12"/>
    </row>
    <row r="8075" spans="9:39" x14ac:dyDescent="0.3">
      <c r="I8075" s="12"/>
      <c r="N8075" s="12"/>
      <c r="S8075" s="12"/>
      <c r="X8075" s="12"/>
      <c r="AM8075" s="12"/>
    </row>
    <row r="8076" spans="9:39" x14ac:dyDescent="0.3">
      <c r="I8076" s="12"/>
      <c r="N8076" s="12"/>
      <c r="S8076" s="12"/>
      <c r="X8076" s="12"/>
      <c r="AM8076" s="12"/>
    </row>
    <row r="8077" spans="9:39" x14ac:dyDescent="0.3">
      <c r="I8077" s="12"/>
      <c r="N8077" s="12"/>
      <c r="S8077" s="12"/>
      <c r="X8077" s="12"/>
      <c r="AM8077" s="12"/>
    </row>
    <row r="8078" spans="9:39" x14ac:dyDescent="0.3">
      <c r="I8078" s="12"/>
      <c r="N8078" s="12"/>
      <c r="S8078" s="12"/>
      <c r="X8078" s="12"/>
      <c r="AM8078" s="12"/>
    </row>
    <row r="8079" spans="9:39" x14ac:dyDescent="0.3">
      <c r="I8079" s="12"/>
      <c r="N8079" s="12"/>
      <c r="S8079" s="12"/>
      <c r="X8079" s="12"/>
      <c r="AM8079" s="12"/>
    </row>
    <row r="8080" spans="9:39" x14ac:dyDescent="0.3">
      <c r="I8080" s="12"/>
      <c r="N8080" s="12"/>
      <c r="S8080" s="12"/>
      <c r="X8080" s="12"/>
      <c r="AM8080" s="12"/>
    </row>
    <row r="8081" spans="9:39" x14ac:dyDescent="0.3">
      <c r="I8081" s="12"/>
      <c r="N8081" s="12"/>
      <c r="S8081" s="12"/>
      <c r="X8081" s="12"/>
      <c r="AM8081" s="12"/>
    </row>
    <row r="8082" spans="9:39" x14ac:dyDescent="0.3">
      <c r="I8082" s="12"/>
      <c r="N8082" s="12"/>
      <c r="S8082" s="12"/>
      <c r="X8082" s="12"/>
      <c r="AM8082" s="12"/>
    </row>
    <row r="8083" spans="9:39" x14ac:dyDescent="0.3">
      <c r="I8083" s="12"/>
      <c r="N8083" s="12"/>
      <c r="S8083" s="12"/>
      <c r="X8083" s="12"/>
      <c r="AM8083" s="12"/>
    </row>
    <row r="8084" spans="9:39" x14ac:dyDescent="0.3">
      <c r="I8084" s="12"/>
      <c r="N8084" s="12"/>
      <c r="S8084" s="12"/>
      <c r="X8084" s="12"/>
      <c r="AM8084" s="12"/>
    </row>
    <row r="8085" spans="9:39" x14ac:dyDescent="0.3">
      <c r="I8085" s="12"/>
      <c r="N8085" s="12"/>
      <c r="S8085" s="12"/>
      <c r="X8085" s="12"/>
      <c r="AM8085" s="12"/>
    </row>
    <row r="8086" spans="9:39" x14ac:dyDescent="0.3">
      <c r="I8086" s="12"/>
      <c r="N8086" s="12"/>
      <c r="S8086" s="12"/>
      <c r="X8086" s="12"/>
      <c r="AM8086" s="12"/>
    </row>
    <row r="8087" spans="9:39" x14ac:dyDescent="0.3">
      <c r="I8087" s="12"/>
      <c r="N8087" s="12"/>
      <c r="S8087" s="12"/>
      <c r="X8087" s="12"/>
      <c r="AM8087" s="12"/>
    </row>
    <row r="8088" spans="9:39" x14ac:dyDescent="0.3">
      <c r="I8088" s="12"/>
      <c r="N8088" s="12"/>
      <c r="S8088" s="12"/>
      <c r="X8088" s="12"/>
      <c r="AM8088" s="12"/>
    </row>
    <row r="8089" spans="9:39" x14ac:dyDescent="0.3">
      <c r="I8089" s="12"/>
      <c r="N8089" s="12"/>
      <c r="S8089" s="12"/>
      <c r="X8089" s="12"/>
      <c r="AM8089" s="12"/>
    </row>
    <row r="8090" spans="9:39" x14ac:dyDescent="0.3">
      <c r="I8090" s="12"/>
      <c r="N8090" s="12"/>
      <c r="S8090" s="12"/>
      <c r="X8090" s="12"/>
      <c r="AM8090" s="12"/>
    </row>
    <row r="8091" spans="9:39" x14ac:dyDescent="0.3">
      <c r="I8091" s="12"/>
      <c r="N8091" s="12"/>
      <c r="S8091" s="12"/>
      <c r="X8091" s="12"/>
      <c r="AM8091" s="12"/>
    </row>
    <row r="8092" spans="9:39" x14ac:dyDescent="0.3">
      <c r="I8092" s="12"/>
      <c r="N8092" s="12"/>
      <c r="S8092" s="12"/>
      <c r="X8092" s="12"/>
      <c r="AM8092" s="12"/>
    </row>
    <row r="8093" spans="9:39" x14ac:dyDescent="0.3">
      <c r="I8093" s="12"/>
      <c r="N8093" s="12"/>
      <c r="S8093" s="12"/>
      <c r="X8093" s="12"/>
      <c r="AM8093" s="12"/>
    </row>
    <row r="8094" spans="9:39" x14ac:dyDescent="0.3">
      <c r="I8094" s="12"/>
      <c r="N8094" s="12"/>
      <c r="S8094" s="12"/>
      <c r="X8094" s="12"/>
      <c r="AM8094" s="12"/>
    </row>
    <row r="8095" spans="9:39" x14ac:dyDescent="0.3">
      <c r="I8095" s="12"/>
      <c r="N8095" s="12"/>
      <c r="S8095" s="12"/>
      <c r="X8095" s="12"/>
      <c r="AM8095" s="12"/>
    </row>
    <row r="8096" spans="9:39" x14ac:dyDescent="0.3">
      <c r="I8096" s="12"/>
      <c r="N8096" s="12"/>
      <c r="S8096" s="12"/>
      <c r="X8096" s="12"/>
      <c r="AM8096" s="12"/>
    </row>
    <row r="8097" spans="9:39" x14ac:dyDescent="0.3">
      <c r="I8097" s="12"/>
      <c r="N8097" s="12"/>
      <c r="S8097" s="12"/>
      <c r="X8097" s="12"/>
      <c r="AM8097" s="12"/>
    </row>
    <row r="8098" spans="9:39" x14ac:dyDescent="0.3">
      <c r="I8098" s="12"/>
      <c r="N8098" s="12"/>
      <c r="S8098" s="12"/>
      <c r="X8098" s="12"/>
      <c r="AM8098" s="12"/>
    </row>
    <row r="8099" spans="9:39" x14ac:dyDescent="0.3">
      <c r="I8099" s="12"/>
      <c r="N8099" s="12"/>
      <c r="S8099" s="12"/>
      <c r="X8099" s="12"/>
      <c r="AM8099" s="12"/>
    </row>
    <row r="8100" spans="9:39" x14ac:dyDescent="0.3">
      <c r="I8100" s="12"/>
      <c r="N8100" s="12"/>
      <c r="S8100" s="12"/>
      <c r="X8100" s="12"/>
      <c r="AM8100" s="12"/>
    </row>
    <row r="8101" spans="9:39" x14ac:dyDescent="0.3">
      <c r="I8101" s="12"/>
      <c r="N8101" s="12"/>
      <c r="S8101" s="12"/>
      <c r="X8101" s="12"/>
      <c r="AM8101" s="12"/>
    </row>
    <row r="8102" spans="9:39" x14ac:dyDescent="0.3">
      <c r="I8102" s="12"/>
      <c r="N8102" s="12"/>
      <c r="S8102" s="12"/>
      <c r="X8102" s="12"/>
      <c r="AM8102" s="12"/>
    </row>
    <row r="8103" spans="9:39" x14ac:dyDescent="0.3">
      <c r="I8103" s="12"/>
      <c r="N8103" s="12"/>
      <c r="S8103" s="12"/>
      <c r="X8103" s="12"/>
      <c r="AM8103" s="12"/>
    </row>
    <row r="8104" spans="9:39" x14ac:dyDescent="0.3">
      <c r="I8104" s="12"/>
      <c r="N8104" s="12"/>
      <c r="S8104" s="12"/>
      <c r="X8104" s="12"/>
      <c r="AM8104" s="12"/>
    </row>
    <row r="8105" spans="9:39" x14ac:dyDescent="0.3">
      <c r="I8105" s="12"/>
      <c r="N8105" s="12"/>
      <c r="S8105" s="12"/>
      <c r="X8105" s="12"/>
      <c r="AM8105" s="12"/>
    </row>
    <row r="8106" spans="9:39" x14ac:dyDescent="0.3">
      <c r="I8106" s="12"/>
      <c r="N8106" s="12"/>
      <c r="S8106" s="12"/>
      <c r="X8106" s="12"/>
      <c r="AM8106" s="12"/>
    </row>
    <row r="8107" spans="9:39" x14ac:dyDescent="0.3">
      <c r="I8107" s="12"/>
      <c r="N8107" s="12"/>
      <c r="S8107" s="12"/>
      <c r="X8107" s="12"/>
      <c r="AM8107" s="12"/>
    </row>
    <row r="8108" spans="9:39" x14ac:dyDescent="0.3">
      <c r="I8108" s="12"/>
      <c r="N8108" s="12"/>
      <c r="S8108" s="12"/>
      <c r="X8108" s="12"/>
      <c r="AM8108" s="12"/>
    </row>
    <row r="8109" spans="9:39" x14ac:dyDescent="0.3">
      <c r="I8109" s="12"/>
      <c r="N8109" s="12"/>
      <c r="S8109" s="12"/>
      <c r="X8109" s="12"/>
      <c r="AM8109" s="12"/>
    </row>
    <row r="8110" spans="9:39" x14ac:dyDescent="0.3">
      <c r="I8110" s="12"/>
      <c r="N8110" s="12"/>
      <c r="S8110" s="12"/>
      <c r="X8110" s="12"/>
      <c r="AM8110" s="12"/>
    </row>
    <row r="8111" spans="9:39" x14ac:dyDescent="0.3">
      <c r="I8111" s="12"/>
      <c r="N8111" s="12"/>
      <c r="S8111" s="12"/>
      <c r="X8111" s="12"/>
      <c r="AM8111" s="12"/>
    </row>
    <row r="8112" spans="9:39" x14ac:dyDescent="0.3">
      <c r="I8112" s="12"/>
      <c r="N8112" s="12"/>
      <c r="S8112" s="12"/>
      <c r="X8112" s="12"/>
      <c r="AM8112" s="12"/>
    </row>
    <row r="8113" spans="9:39" x14ac:dyDescent="0.3">
      <c r="I8113" s="12"/>
      <c r="N8113" s="12"/>
      <c r="S8113" s="12"/>
      <c r="X8113" s="12"/>
      <c r="AM8113" s="12"/>
    </row>
    <row r="8114" spans="9:39" x14ac:dyDescent="0.3">
      <c r="I8114" s="12"/>
      <c r="N8114" s="12"/>
      <c r="S8114" s="12"/>
      <c r="X8114" s="12"/>
      <c r="AM8114" s="12"/>
    </row>
    <row r="8115" spans="9:39" x14ac:dyDescent="0.3">
      <c r="I8115" s="12"/>
      <c r="N8115" s="12"/>
      <c r="S8115" s="12"/>
      <c r="X8115" s="12"/>
      <c r="AM8115" s="12"/>
    </row>
    <row r="8116" spans="9:39" x14ac:dyDescent="0.3">
      <c r="I8116" s="12"/>
      <c r="N8116" s="12"/>
      <c r="S8116" s="12"/>
      <c r="X8116" s="12"/>
      <c r="AM8116" s="12"/>
    </row>
    <row r="8117" spans="9:39" x14ac:dyDescent="0.3">
      <c r="I8117" s="12"/>
      <c r="N8117" s="12"/>
      <c r="S8117" s="12"/>
      <c r="X8117" s="12"/>
      <c r="AM8117" s="12"/>
    </row>
    <row r="8118" spans="9:39" x14ac:dyDescent="0.3">
      <c r="I8118" s="12"/>
      <c r="N8118" s="12"/>
      <c r="S8118" s="12"/>
      <c r="X8118" s="12"/>
      <c r="AM8118" s="12"/>
    </row>
    <row r="8119" spans="9:39" x14ac:dyDescent="0.3">
      <c r="I8119" s="12"/>
      <c r="N8119" s="12"/>
      <c r="S8119" s="12"/>
      <c r="X8119" s="12"/>
      <c r="AM8119" s="12"/>
    </row>
    <row r="8120" spans="9:39" x14ac:dyDescent="0.3">
      <c r="I8120" s="12"/>
      <c r="N8120" s="12"/>
      <c r="S8120" s="12"/>
      <c r="X8120" s="12"/>
      <c r="AM8120" s="12"/>
    </row>
    <row r="8121" spans="9:39" x14ac:dyDescent="0.3">
      <c r="I8121" s="12"/>
      <c r="N8121" s="12"/>
      <c r="S8121" s="12"/>
      <c r="X8121" s="12"/>
      <c r="AM8121" s="12"/>
    </row>
    <row r="8122" spans="9:39" x14ac:dyDescent="0.3">
      <c r="I8122" s="12"/>
      <c r="N8122" s="12"/>
      <c r="S8122" s="12"/>
      <c r="X8122" s="12"/>
      <c r="AM8122" s="12"/>
    </row>
    <row r="8123" spans="9:39" x14ac:dyDescent="0.3">
      <c r="I8123" s="12"/>
      <c r="N8123" s="12"/>
      <c r="S8123" s="12"/>
      <c r="X8123" s="12"/>
      <c r="AM8123" s="12"/>
    </row>
    <row r="8124" spans="9:39" x14ac:dyDescent="0.3">
      <c r="I8124" s="12"/>
      <c r="N8124" s="12"/>
      <c r="S8124" s="12"/>
      <c r="X8124" s="12"/>
      <c r="AM8124" s="12"/>
    </row>
    <row r="8125" spans="9:39" x14ac:dyDescent="0.3">
      <c r="I8125" s="12"/>
      <c r="N8125" s="12"/>
      <c r="S8125" s="12"/>
      <c r="X8125" s="12"/>
      <c r="AM8125" s="12"/>
    </row>
    <row r="8126" spans="9:39" x14ac:dyDescent="0.3">
      <c r="I8126" s="12"/>
      <c r="N8126" s="12"/>
      <c r="S8126" s="12"/>
      <c r="X8126" s="12"/>
      <c r="AM8126" s="12"/>
    </row>
    <row r="8127" spans="9:39" x14ac:dyDescent="0.3">
      <c r="I8127" s="12"/>
      <c r="N8127" s="12"/>
      <c r="S8127" s="12"/>
      <c r="X8127" s="12"/>
      <c r="AM8127" s="12"/>
    </row>
    <row r="8128" spans="9:39" x14ac:dyDescent="0.3">
      <c r="I8128" s="12"/>
      <c r="N8128" s="12"/>
      <c r="S8128" s="12"/>
      <c r="X8128" s="12"/>
      <c r="AM8128" s="12"/>
    </row>
    <row r="8129" spans="9:39" x14ac:dyDescent="0.3">
      <c r="I8129" s="12"/>
      <c r="N8129" s="12"/>
      <c r="S8129" s="12"/>
      <c r="X8129" s="12"/>
      <c r="AM8129" s="12"/>
    </row>
    <row r="8130" spans="9:39" x14ac:dyDescent="0.3">
      <c r="I8130" s="12"/>
      <c r="N8130" s="12"/>
      <c r="S8130" s="12"/>
      <c r="X8130" s="12"/>
      <c r="AM8130" s="12"/>
    </row>
    <row r="8131" spans="9:39" x14ac:dyDescent="0.3">
      <c r="I8131" s="12"/>
      <c r="N8131" s="12"/>
      <c r="S8131" s="12"/>
      <c r="X8131" s="12"/>
      <c r="AM8131" s="12"/>
    </row>
    <row r="8132" spans="9:39" x14ac:dyDescent="0.3">
      <c r="I8132" s="12"/>
      <c r="N8132" s="12"/>
      <c r="S8132" s="12"/>
      <c r="X8132" s="12"/>
      <c r="AM8132" s="12"/>
    </row>
    <row r="8133" spans="9:39" x14ac:dyDescent="0.3">
      <c r="I8133" s="12"/>
      <c r="N8133" s="12"/>
      <c r="S8133" s="12"/>
      <c r="X8133" s="12"/>
      <c r="AM8133" s="12"/>
    </row>
    <row r="8134" spans="9:39" x14ac:dyDescent="0.3">
      <c r="I8134" s="12"/>
      <c r="N8134" s="12"/>
      <c r="S8134" s="12"/>
      <c r="X8134" s="12"/>
      <c r="AM8134" s="12"/>
    </row>
    <row r="8135" spans="9:39" x14ac:dyDescent="0.3">
      <c r="I8135" s="12"/>
      <c r="N8135" s="12"/>
      <c r="S8135" s="12"/>
      <c r="X8135" s="12"/>
      <c r="AM8135" s="12"/>
    </row>
    <row r="8136" spans="9:39" x14ac:dyDescent="0.3">
      <c r="I8136" s="12"/>
      <c r="N8136" s="12"/>
      <c r="S8136" s="12"/>
      <c r="X8136" s="12"/>
      <c r="AM8136" s="12"/>
    </row>
    <row r="8137" spans="9:39" x14ac:dyDescent="0.3">
      <c r="I8137" s="12"/>
      <c r="N8137" s="12"/>
      <c r="S8137" s="12"/>
      <c r="X8137" s="12"/>
      <c r="AM8137" s="12"/>
    </row>
    <row r="8138" spans="9:39" x14ac:dyDescent="0.3">
      <c r="I8138" s="12"/>
      <c r="N8138" s="12"/>
      <c r="S8138" s="12"/>
      <c r="X8138" s="12"/>
      <c r="AM8138" s="12"/>
    </row>
    <row r="8139" spans="9:39" x14ac:dyDescent="0.3">
      <c r="I8139" s="12"/>
      <c r="N8139" s="12"/>
      <c r="S8139" s="12"/>
      <c r="X8139" s="12"/>
      <c r="AM8139" s="12"/>
    </row>
    <row r="8140" spans="9:39" x14ac:dyDescent="0.3">
      <c r="I8140" s="12"/>
      <c r="N8140" s="12"/>
      <c r="S8140" s="12"/>
      <c r="X8140" s="12"/>
      <c r="AM8140" s="12"/>
    </row>
    <row r="8141" spans="9:39" x14ac:dyDescent="0.3">
      <c r="I8141" s="12"/>
      <c r="N8141" s="12"/>
      <c r="S8141" s="12"/>
      <c r="X8141" s="12"/>
      <c r="AM8141" s="12"/>
    </row>
    <row r="8142" spans="9:39" x14ac:dyDescent="0.3">
      <c r="I8142" s="12"/>
      <c r="N8142" s="12"/>
      <c r="S8142" s="12"/>
      <c r="X8142" s="12"/>
      <c r="AM8142" s="12"/>
    </row>
    <row r="8143" spans="9:39" x14ac:dyDescent="0.3">
      <c r="I8143" s="12"/>
      <c r="N8143" s="12"/>
      <c r="S8143" s="12"/>
      <c r="X8143" s="12"/>
      <c r="AM8143" s="12"/>
    </row>
    <row r="8144" spans="9:39" x14ac:dyDescent="0.3">
      <c r="I8144" s="12"/>
      <c r="N8144" s="12"/>
      <c r="S8144" s="12"/>
      <c r="X8144" s="12"/>
      <c r="AM8144" s="12"/>
    </row>
    <row r="8145" spans="9:39" x14ac:dyDescent="0.3">
      <c r="I8145" s="12"/>
      <c r="N8145" s="12"/>
      <c r="S8145" s="12"/>
      <c r="X8145" s="12"/>
      <c r="AM8145" s="12"/>
    </row>
    <row r="8146" spans="9:39" x14ac:dyDescent="0.3">
      <c r="I8146" s="12"/>
      <c r="N8146" s="12"/>
      <c r="S8146" s="12"/>
      <c r="X8146" s="12"/>
      <c r="AM8146" s="12"/>
    </row>
    <row r="8147" spans="9:39" x14ac:dyDescent="0.3">
      <c r="I8147" s="12"/>
      <c r="N8147" s="12"/>
      <c r="S8147" s="12"/>
      <c r="X8147" s="12"/>
      <c r="AM8147" s="12"/>
    </row>
    <row r="8148" spans="9:39" x14ac:dyDescent="0.3">
      <c r="I8148" s="12"/>
      <c r="N8148" s="12"/>
      <c r="S8148" s="12"/>
      <c r="X8148" s="12"/>
      <c r="AM8148" s="12"/>
    </row>
    <row r="8149" spans="9:39" x14ac:dyDescent="0.3">
      <c r="I8149" s="12"/>
      <c r="N8149" s="12"/>
      <c r="S8149" s="12"/>
      <c r="X8149" s="12"/>
      <c r="AM8149" s="12"/>
    </row>
    <row r="8150" spans="9:39" x14ac:dyDescent="0.3">
      <c r="I8150" s="12"/>
      <c r="N8150" s="12"/>
      <c r="S8150" s="12"/>
      <c r="X8150" s="12"/>
      <c r="AM8150" s="12"/>
    </row>
    <row r="8151" spans="9:39" x14ac:dyDescent="0.3">
      <c r="I8151" s="12"/>
      <c r="N8151" s="12"/>
      <c r="S8151" s="12"/>
      <c r="X8151" s="12"/>
      <c r="AM8151" s="12"/>
    </row>
    <row r="8152" spans="9:39" x14ac:dyDescent="0.3">
      <c r="I8152" s="12"/>
      <c r="N8152" s="12"/>
      <c r="S8152" s="12"/>
      <c r="X8152" s="12"/>
      <c r="AM8152" s="12"/>
    </row>
    <row r="8153" spans="9:39" x14ac:dyDescent="0.3">
      <c r="I8153" s="12"/>
      <c r="N8153" s="12"/>
      <c r="S8153" s="12"/>
      <c r="X8153" s="12"/>
      <c r="AM8153" s="12"/>
    </row>
    <row r="8154" spans="9:39" x14ac:dyDescent="0.3">
      <c r="I8154" s="12"/>
      <c r="N8154" s="12"/>
      <c r="S8154" s="12"/>
      <c r="X8154" s="12"/>
      <c r="AM8154" s="12"/>
    </row>
    <row r="8155" spans="9:39" x14ac:dyDescent="0.3">
      <c r="I8155" s="12"/>
      <c r="N8155" s="12"/>
      <c r="S8155" s="12"/>
      <c r="X8155" s="12"/>
      <c r="AM8155" s="12"/>
    </row>
    <row r="8156" spans="9:39" x14ac:dyDescent="0.3">
      <c r="I8156" s="12"/>
      <c r="N8156" s="12"/>
      <c r="S8156" s="12"/>
      <c r="X8156" s="12"/>
      <c r="AM8156" s="12"/>
    </row>
    <row r="8157" spans="9:39" x14ac:dyDescent="0.3">
      <c r="I8157" s="12"/>
      <c r="N8157" s="12"/>
      <c r="S8157" s="12"/>
      <c r="X8157" s="12"/>
      <c r="AM8157" s="12"/>
    </row>
    <row r="8158" spans="9:39" x14ac:dyDescent="0.3">
      <c r="I8158" s="12"/>
      <c r="N8158" s="12"/>
      <c r="S8158" s="12"/>
      <c r="X8158" s="12"/>
      <c r="AM8158" s="12"/>
    </row>
    <row r="8159" spans="9:39" x14ac:dyDescent="0.3">
      <c r="I8159" s="12"/>
      <c r="N8159" s="12"/>
      <c r="S8159" s="12"/>
      <c r="X8159" s="12"/>
      <c r="AM8159" s="12"/>
    </row>
  </sheetData>
  <mergeCells count="1">
    <mergeCell ref="BJ1:BJ6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Unit 1</vt:lpstr>
      <vt:lpstr>Unit 2</vt:lpstr>
      <vt:lpstr>Half yearly</vt:lpstr>
      <vt:lpstr>Unit 3</vt:lpstr>
      <vt:lpstr>Unit 4</vt:lpstr>
      <vt:lpstr>Annual</vt:lpstr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2025-12-24T02:59:39Z</dcterms:modified>
</cp:coreProperties>
</file>